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328\Nutstore\1\我的坚果云\PETM\Data\"/>
    </mc:Choice>
  </mc:AlternateContent>
  <xr:revisionPtr revIDLastSave="0" documentId="13_ncr:1_{4548F10D-FB58-4FC2-A7E4-A14A636B6FE5}" xr6:coauthVersionLast="47" xr6:coauthVersionMax="47" xr10:uidLastSave="{00000000-0000-0000-0000-000000000000}"/>
  <bookViews>
    <workbookView xWindow="33480" yWindow="-120" windowWidth="29040" windowHeight="15720" xr2:uid="{58B6764D-58CF-4B40-A84E-837F9170D7A3}"/>
  </bookViews>
  <sheets>
    <sheet name="C and O isotope" sheetId="6" r:id="rId1"/>
    <sheet name="Leach and disolution" sheetId="2" r:id="rId2"/>
    <sheet name="Standard" sheetId="8" r:id="rId3"/>
    <sheet name="Ba isotope_Seawater" sheetId="9" r:id="rId4"/>
  </sheets>
  <definedNames>
    <definedName name="_xlnm._FilterDatabase" localSheetId="3" hidden="1">'Ba isotope_Seawater'!$I$64:$K$99</definedName>
    <definedName name="_xlnm._FilterDatabase" localSheetId="1" hidden="1">'Leach and disolution'!$A$1:$W$61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L4" i="8"/>
  <c r="L2" i="8"/>
  <c r="K4" i="8"/>
  <c r="K3" i="8"/>
  <c r="K2" i="8"/>
  <c r="AC5" i="2" l="1"/>
  <c r="AD5" i="2" s="1"/>
  <c r="AC9" i="2"/>
  <c r="AD9" i="2" s="1"/>
  <c r="AC11" i="2"/>
  <c r="AD11" i="2" s="1"/>
  <c r="AC13" i="2"/>
  <c r="AD13" i="2" s="1"/>
  <c r="AC15" i="2"/>
  <c r="AD15" i="2" s="1"/>
  <c r="AC17" i="2"/>
  <c r="AD17" i="2" s="1"/>
  <c r="AC19" i="2"/>
  <c r="AD19" i="2" s="1"/>
  <c r="AC21" i="2"/>
  <c r="AD21" i="2" s="1"/>
  <c r="AC24" i="2"/>
  <c r="AD24" i="2" s="1"/>
  <c r="AC25" i="2"/>
  <c r="AD25" i="2" s="1"/>
  <c r="AC26" i="2"/>
  <c r="AD26" i="2" s="1"/>
  <c r="AC28" i="2"/>
  <c r="AD28" i="2" s="1"/>
  <c r="AC29" i="2"/>
  <c r="AD29" i="2" s="1"/>
  <c r="AC30" i="2"/>
  <c r="AD30" i="2" s="1"/>
  <c r="AC34" i="2"/>
  <c r="AD34" i="2" s="1"/>
  <c r="AC40" i="2"/>
  <c r="AD40" i="2" s="1"/>
  <c r="AC41" i="2"/>
  <c r="AD41" i="2" s="1"/>
  <c r="AC45" i="2"/>
  <c r="AD45" i="2" s="1"/>
  <c r="AC46" i="2"/>
  <c r="AD46" i="2" s="1"/>
  <c r="AC50" i="2"/>
  <c r="AD50" i="2" s="1"/>
  <c r="AC52" i="2"/>
  <c r="AD52" i="2" s="1"/>
  <c r="AC54" i="2"/>
  <c r="AD54" i="2" s="1"/>
  <c r="AC56" i="2"/>
  <c r="AD56" i="2" s="1"/>
  <c r="AC57" i="2"/>
  <c r="AD57" i="2" s="1"/>
  <c r="AC58" i="2"/>
  <c r="AD58" i="2" s="1"/>
  <c r="AC61" i="2"/>
  <c r="AD61" i="2" s="1"/>
  <c r="AC3" i="2"/>
  <c r="AD3" i="2" s="1"/>
  <c r="AA5" i="2" l="1"/>
  <c r="AB5" i="2" s="1"/>
  <c r="AA9" i="2"/>
  <c r="AB9" i="2" s="1"/>
  <c r="AA11" i="2"/>
  <c r="AB11" i="2" s="1"/>
  <c r="AA13" i="2"/>
  <c r="AB13" i="2" s="1"/>
  <c r="AA15" i="2"/>
  <c r="AB15" i="2" s="1"/>
  <c r="AA17" i="2"/>
  <c r="AB17" i="2" s="1"/>
  <c r="AA19" i="2"/>
  <c r="AB19" i="2" s="1"/>
  <c r="AA21" i="2"/>
  <c r="AB21" i="2" s="1"/>
  <c r="AA24" i="2"/>
  <c r="AB24" i="2" s="1"/>
  <c r="AA25" i="2"/>
  <c r="AB25" i="2" s="1"/>
  <c r="AA26" i="2"/>
  <c r="AB26" i="2" s="1"/>
  <c r="AA28" i="2"/>
  <c r="AB28" i="2" s="1"/>
  <c r="AA29" i="2"/>
  <c r="AB29" i="2" s="1"/>
  <c r="AA30" i="2"/>
  <c r="AB30" i="2" s="1"/>
  <c r="AA34" i="2"/>
  <c r="AB34" i="2" s="1"/>
  <c r="AA40" i="2"/>
  <c r="AB40" i="2" s="1"/>
  <c r="AA41" i="2"/>
  <c r="AB41" i="2" s="1"/>
  <c r="AA45" i="2"/>
  <c r="AB45" i="2" s="1"/>
  <c r="AA46" i="2"/>
  <c r="AB46" i="2" s="1"/>
  <c r="AA50" i="2"/>
  <c r="AB50" i="2" s="1"/>
  <c r="AA52" i="2"/>
  <c r="AB52" i="2" s="1"/>
  <c r="AA54" i="2"/>
  <c r="AB54" i="2" s="1"/>
  <c r="AA56" i="2"/>
  <c r="AB56" i="2" s="1"/>
  <c r="AA57" i="2"/>
  <c r="AB57" i="2" s="1"/>
  <c r="AA58" i="2"/>
  <c r="AB58" i="2" s="1"/>
  <c r="AA61" i="2"/>
  <c r="AB61" i="2" s="1"/>
  <c r="AA3" i="2"/>
  <c r="AB3" i="2" s="1"/>
  <c r="Y3" i="2"/>
  <c r="Z3" i="2" s="1"/>
  <c r="Y5" i="2"/>
  <c r="Z5" i="2" s="1"/>
  <c r="Y9" i="2"/>
  <c r="Z9" i="2" s="1"/>
  <c r="Y11" i="2"/>
  <c r="Z11" i="2" s="1"/>
  <c r="Y13" i="2"/>
  <c r="Z13" i="2" s="1"/>
  <c r="Y15" i="2"/>
  <c r="Z15" i="2" s="1"/>
  <c r="Y17" i="2"/>
  <c r="Z17" i="2" s="1"/>
  <c r="Y19" i="2"/>
  <c r="Z19" i="2" s="1"/>
  <c r="Y21" i="2"/>
  <c r="Z21" i="2" s="1"/>
  <c r="Y24" i="2"/>
  <c r="Z24" i="2" s="1"/>
  <c r="Y25" i="2"/>
  <c r="Z25" i="2" s="1"/>
  <c r="Y26" i="2"/>
  <c r="Z26" i="2" s="1"/>
  <c r="Y28" i="2"/>
  <c r="Z28" i="2" s="1"/>
  <c r="Y29" i="2"/>
  <c r="Z29" i="2" s="1"/>
  <c r="Y30" i="2"/>
  <c r="Z30" i="2" s="1"/>
  <c r="Y34" i="2"/>
  <c r="Z34" i="2" s="1"/>
  <c r="Y40" i="2"/>
  <c r="Z40" i="2" s="1"/>
  <c r="Y41" i="2"/>
  <c r="Z41" i="2" s="1"/>
  <c r="Y45" i="2"/>
  <c r="Z45" i="2" s="1"/>
  <c r="Y46" i="2"/>
  <c r="Z46" i="2" s="1"/>
  <c r="Y50" i="2"/>
  <c r="Z50" i="2" s="1"/>
  <c r="Y52" i="2"/>
  <c r="Z52" i="2" s="1"/>
  <c r="Y54" i="2"/>
  <c r="Z54" i="2" s="1"/>
  <c r="Y56" i="2"/>
  <c r="Z56" i="2" s="1"/>
  <c r="Y57" i="2"/>
  <c r="Z57" i="2" s="1"/>
  <c r="Y58" i="2"/>
  <c r="Z58" i="2" s="1"/>
  <c r="Y60" i="2"/>
  <c r="Y61" i="2"/>
  <c r="Z61" i="2" s="1"/>
</calcChain>
</file>

<file path=xl/sharedStrings.xml><?xml version="1.0" encoding="utf-8"?>
<sst xmlns="http://schemas.openxmlformats.org/spreadsheetml/2006/main" count="663" uniqueCount="208">
  <si>
    <t>Sample</t>
    <phoneticPr fontId="3" type="noConversion"/>
  </si>
  <si>
    <t>Phase</t>
    <phoneticPr fontId="3" type="noConversion"/>
  </si>
  <si>
    <t>dC</t>
    <phoneticPr fontId="3" type="noConversion"/>
  </si>
  <si>
    <t>dO</t>
    <phoneticPr fontId="3" type="noConversion"/>
  </si>
  <si>
    <t>‰</t>
    <phoneticPr fontId="3" type="noConversion"/>
  </si>
  <si>
    <t>ppm</t>
    <phoneticPr fontId="3" type="noConversion"/>
  </si>
  <si>
    <t>LDR-2021-G-1</t>
    <phoneticPr fontId="9" type="noConversion"/>
  </si>
  <si>
    <t>a</t>
    <phoneticPr fontId="3" type="noConversion"/>
  </si>
  <si>
    <t>LDR-2021-G-5</t>
  </si>
  <si>
    <t>LDR-2021-G-9</t>
  </si>
  <si>
    <t>LDR-2021-G-13</t>
  </si>
  <si>
    <t>LDR-2021-G-17</t>
  </si>
  <si>
    <t>LDR-2021-G-21</t>
  </si>
  <si>
    <t>LDR-2021-G-22</t>
  </si>
  <si>
    <t>LDR-2021-G-25</t>
  </si>
  <si>
    <t>LDR-2021-G-29</t>
  </si>
  <si>
    <t>LDR-2021-G-33</t>
  </si>
  <si>
    <t>LDR-2021-G-37</t>
  </si>
  <si>
    <t>LDR-2021-G-41</t>
  </si>
  <si>
    <t>LDR-2021-G-44</t>
  </si>
  <si>
    <t>b</t>
    <phoneticPr fontId="3" type="noConversion"/>
  </si>
  <si>
    <t>LDR-2021-G-48</t>
  </si>
  <si>
    <t>LDR-2021-G-52</t>
  </si>
  <si>
    <t>LDR-2021-G-54</t>
  </si>
  <si>
    <t>LDR-2021-G-56</t>
  </si>
  <si>
    <t>LDR-2021-G-57</t>
  </si>
  <si>
    <t>LDR-2021-G-58</t>
  </si>
  <si>
    <t>LDR-2021-G-60</t>
  </si>
  <si>
    <t>c</t>
    <phoneticPr fontId="3" type="noConversion"/>
  </si>
  <si>
    <t>LDR-2021-G-61</t>
  </si>
  <si>
    <t>LDR-2021-G-62</t>
  </si>
  <si>
    <t>LDR-2021-G-63</t>
  </si>
  <si>
    <t>d</t>
    <phoneticPr fontId="3" type="noConversion"/>
  </si>
  <si>
    <t>LDR-2021-G-64</t>
  </si>
  <si>
    <t>LDR-2021-G-65</t>
  </si>
  <si>
    <t>e</t>
    <phoneticPr fontId="3" type="noConversion"/>
  </si>
  <si>
    <t>LDR-2021-G-66</t>
  </si>
  <si>
    <t>LDR-2021-G-67</t>
  </si>
  <si>
    <t>LDR-2021-G-68</t>
  </si>
  <si>
    <t>LDR-2021-G-69</t>
  </si>
  <si>
    <t>LDR-2021-G-70</t>
  </si>
  <si>
    <t>LDR-2021-G-71</t>
  </si>
  <si>
    <t>LDR-2021-G-72</t>
  </si>
  <si>
    <t>LDR-2021-G-73</t>
  </si>
  <si>
    <t>LDR-2021-G-74</t>
  </si>
  <si>
    <t>LDR-2021-G-75</t>
  </si>
  <si>
    <t>LDR-2021-G-76</t>
  </si>
  <si>
    <t>LDR-2021-G-77</t>
  </si>
  <si>
    <t>LDR-2021-G-78</t>
  </si>
  <si>
    <t>LDR-2021-G-79</t>
  </si>
  <si>
    <t>LDR-2021-G-80</t>
  </si>
  <si>
    <t>f</t>
    <phoneticPr fontId="3" type="noConversion"/>
  </si>
  <si>
    <t>LDR-2021-G-81</t>
  </si>
  <si>
    <t>LDR-2021-G-82</t>
  </si>
  <si>
    <t>LDR-2021-G-83</t>
  </si>
  <si>
    <t>g</t>
    <phoneticPr fontId="3" type="noConversion"/>
  </si>
  <si>
    <t>LDR-2021-G-84</t>
  </si>
  <si>
    <t>LDR-2021-G-85</t>
  </si>
  <si>
    <t>LDR-2021-G-86</t>
  </si>
  <si>
    <t>LDR-2021-G-87</t>
  </si>
  <si>
    <t>LDR-2021-G-88</t>
  </si>
  <si>
    <t>LDR-2021-G-89</t>
  </si>
  <si>
    <t>LDR-2021-G-90</t>
  </si>
  <si>
    <t>LDR-2021-G-91</t>
  </si>
  <si>
    <t>LDR-2021-G-92</t>
  </si>
  <si>
    <t>LDR-2021-G-93</t>
  </si>
  <si>
    <t>LDR-2021-G-94</t>
  </si>
  <si>
    <t>LDR-2021-G-95</t>
  </si>
  <si>
    <t>LDR-2021-G-96</t>
  </si>
  <si>
    <t>LDR-2021-G-97</t>
  </si>
  <si>
    <t>LDR-2021-G-98</t>
  </si>
  <si>
    <t>LDR-2021-G-99</t>
  </si>
  <si>
    <t>Leach</t>
    <phoneticPr fontId="3" type="noConversion"/>
  </si>
  <si>
    <t>Depth</t>
    <phoneticPr fontId="3" type="noConversion"/>
  </si>
  <si>
    <t>d138Ba</t>
    <phoneticPr fontId="7" type="noConversion"/>
  </si>
  <si>
    <t xml:space="preserve">V </t>
  </si>
  <si>
    <t xml:space="preserve">Ba </t>
  </si>
  <si>
    <t>CaCO3+MgCO3</t>
    <phoneticPr fontId="12" type="noConversion"/>
  </si>
  <si>
    <t>m</t>
    <phoneticPr fontId="3" type="noConversion"/>
  </si>
  <si>
    <t>%</t>
    <phoneticPr fontId="3" type="noConversion"/>
  </si>
  <si>
    <t>*</t>
    <phoneticPr fontId="3" type="noConversion"/>
  </si>
  <si>
    <t>ppm</t>
    <phoneticPr fontId="1" type="noConversion"/>
  </si>
  <si>
    <t>Mg2</t>
    <phoneticPr fontId="1" type="noConversion"/>
  </si>
  <si>
    <t>Al2</t>
    <phoneticPr fontId="1" type="noConversion"/>
  </si>
  <si>
    <t>Ca2</t>
    <phoneticPr fontId="1" type="noConversion"/>
  </si>
  <si>
    <t>Mn2</t>
    <phoneticPr fontId="1" type="noConversion"/>
  </si>
  <si>
    <t>Sr2</t>
    <phoneticPr fontId="1" type="noConversion"/>
  </si>
  <si>
    <t xml:space="preserve">V2 </t>
    <phoneticPr fontId="1" type="noConversion"/>
  </si>
  <si>
    <t xml:space="preserve">Ba2  </t>
    <phoneticPr fontId="1" type="noConversion"/>
  </si>
  <si>
    <t xml:space="preserve">U2  </t>
    <phoneticPr fontId="1" type="noConversion"/>
  </si>
  <si>
    <t>*</t>
    <phoneticPr fontId="1" type="noConversion"/>
  </si>
  <si>
    <t>U_offset</t>
    <phoneticPr fontId="1" type="noConversion"/>
  </si>
  <si>
    <t>Ba_offset</t>
    <phoneticPr fontId="1" type="noConversion"/>
  </si>
  <si>
    <t>Ba_RSD</t>
    <phoneticPr fontId="1" type="noConversion"/>
  </si>
  <si>
    <t>LDR-2021-G-2</t>
  </si>
  <si>
    <t>LDR-2021-G-3</t>
    <phoneticPr fontId="9" type="noConversion"/>
  </si>
  <si>
    <t>LDR-2021-G-4</t>
  </si>
  <si>
    <t>LDR-2021-G-6</t>
  </si>
  <si>
    <t>LDR-2021-G-7</t>
  </si>
  <si>
    <t>LDR-2021-G-8</t>
  </si>
  <si>
    <t>LDR-2021-G-10</t>
  </si>
  <si>
    <t>LDR-2021-G-11</t>
  </si>
  <si>
    <t>LDR-2021-G-12</t>
  </si>
  <si>
    <t>LDR-2021-G-14</t>
  </si>
  <si>
    <t>LDR-2021-G-15</t>
  </si>
  <si>
    <t>LDR-2021-G-16</t>
  </si>
  <si>
    <t>LDR-2021-G-18</t>
  </si>
  <si>
    <t>LDR-2021-G-19</t>
  </si>
  <si>
    <t>LDR-2021-G-20</t>
  </si>
  <si>
    <t>LDR-2021-G-23</t>
  </si>
  <si>
    <t>LDR-2021-G-24</t>
  </si>
  <si>
    <t>LDR-2021-G-26</t>
  </si>
  <si>
    <t>LDR-2021-G-27</t>
  </si>
  <si>
    <t>LDR-2021-G-28</t>
  </si>
  <si>
    <t>LDR-2021-G-30</t>
  </si>
  <si>
    <t>LDR-2021-G-31</t>
  </si>
  <si>
    <t>LDR-2021-G-32</t>
  </si>
  <si>
    <t>LDR-2021-G-34</t>
  </si>
  <si>
    <t>LDR-2021-G-35</t>
  </si>
  <si>
    <t>LDR-2021-G-36</t>
  </si>
  <si>
    <t>LDR-2021-G-38</t>
  </si>
  <si>
    <t>LDR-2021-G-39</t>
  </si>
  <si>
    <t>LDR-2021-G-40</t>
  </si>
  <si>
    <t>LDR-2021-G-42</t>
  </si>
  <si>
    <t>LDR-2021-G-43</t>
  </si>
  <si>
    <t>LDR-2021-G-45</t>
  </si>
  <si>
    <t>LDR-2021-G-46</t>
  </si>
  <si>
    <t>LDR-2021-G-47</t>
  </si>
  <si>
    <t>LDR-2021-G-49</t>
  </si>
  <si>
    <t>LDR-2021-G-50</t>
  </si>
  <si>
    <t>LDR-2021-G-51</t>
  </si>
  <si>
    <t>LDR-2021-G-53</t>
  </si>
  <si>
    <t>LDR-2021-G-55</t>
  </si>
  <si>
    <t>LDR-2021-G-59</t>
  </si>
  <si>
    <t>g</t>
    <phoneticPr fontId="1" type="noConversion"/>
  </si>
  <si>
    <t xml:space="preserve">Al </t>
  </si>
  <si>
    <t>U</t>
    <phoneticPr fontId="1" type="noConversion"/>
  </si>
  <si>
    <t>U_RSD</t>
    <phoneticPr fontId="1" type="noConversion"/>
  </si>
  <si>
    <t>V_offset</t>
    <phoneticPr fontId="1" type="noConversion"/>
  </si>
  <si>
    <t>V_RSD</t>
    <phoneticPr fontId="1" type="noConversion"/>
  </si>
  <si>
    <t>f</t>
  </si>
  <si>
    <t>e</t>
  </si>
  <si>
    <t>c</t>
  </si>
  <si>
    <t>b</t>
  </si>
  <si>
    <t>a</t>
  </si>
  <si>
    <t>AGV-2</t>
    <phoneticPr fontId="1" type="noConversion"/>
  </si>
  <si>
    <t>BCR-2</t>
    <phoneticPr fontId="1" type="noConversion"/>
  </si>
  <si>
    <t>JDO-1</t>
    <phoneticPr fontId="1" type="noConversion"/>
  </si>
  <si>
    <t>Std</t>
    <phoneticPr fontId="1" type="noConversion"/>
  </si>
  <si>
    <t>Reference Value</t>
    <phoneticPr fontId="1" type="noConversion"/>
  </si>
  <si>
    <t>Number</t>
    <phoneticPr fontId="1" type="noConversion"/>
  </si>
  <si>
    <t>Mean</t>
    <phoneticPr fontId="1" type="noConversion"/>
  </si>
  <si>
    <t>SD2</t>
    <phoneticPr fontId="1" type="noConversion"/>
  </si>
  <si>
    <t>depth</t>
  </si>
  <si>
    <t>phase</t>
  </si>
  <si>
    <t>sample</t>
  </si>
  <si>
    <t>age_westerhold</t>
  </si>
  <si>
    <t>age_bridgstock</t>
  </si>
  <si>
    <t>Age_westerhold</t>
  </si>
  <si>
    <t>Age_bridgestock</t>
  </si>
  <si>
    <t>d138Ba_cor</t>
  </si>
  <si>
    <t>dU</t>
    <phoneticPr fontId="5" type="noConversion"/>
  </si>
  <si>
    <t>‰</t>
    <phoneticPr fontId="5" type="noConversion"/>
  </si>
  <si>
    <t>dU2SD</t>
    <phoneticPr fontId="5" type="noConversion"/>
  </si>
  <si>
    <t>‰</t>
    <phoneticPr fontId="2" type="noConversion"/>
  </si>
  <si>
    <t>dBa2SD</t>
  </si>
  <si>
    <t>D357 st.3</t>
  </si>
  <si>
    <t>Station</t>
  </si>
  <si>
    <t xml:space="preserve">South Atlantic </t>
  </si>
  <si>
    <t>Reference</t>
  </si>
  <si>
    <t>Location</t>
  </si>
  <si>
    <t>Bridgestock et al., 2018</t>
  </si>
  <si>
    <t>D357 st.6</t>
  </si>
  <si>
    <t>Bates et al., 2017</t>
  </si>
  <si>
    <t>Horner et al., 2015</t>
  </si>
  <si>
    <t>JC094</t>
  </si>
  <si>
    <t>North Atlantic</t>
  </si>
  <si>
    <t>JC095</t>
  </si>
  <si>
    <t>JC096</t>
  </si>
  <si>
    <t>JC097</t>
  </si>
  <si>
    <t>JC098</t>
  </si>
  <si>
    <t>HydrostationS</t>
  </si>
  <si>
    <t>STN20</t>
  </si>
  <si>
    <t>ALOHA</t>
  </si>
  <si>
    <t>SAFe</t>
  </si>
  <si>
    <t>Upwelling</t>
  </si>
  <si>
    <t>STN21</t>
  </si>
  <si>
    <t>STN22</t>
  </si>
  <si>
    <t>A1</t>
  </si>
  <si>
    <t>S504</t>
  </si>
  <si>
    <t>A5</t>
  </si>
  <si>
    <t>A2</t>
  </si>
  <si>
    <t>A10</t>
  </si>
  <si>
    <t>South China Sea</t>
  </si>
  <si>
    <t>Cao et al., 2020</t>
  </si>
  <si>
    <t>STN 12</t>
  </si>
  <si>
    <t>STN 18</t>
  </si>
  <si>
    <t>STN 20</t>
  </si>
  <si>
    <t>STN 21</t>
  </si>
  <si>
    <t>STN 22</t>
  </si>
  <si>
    <t>Note</t>
  </si>
  <si>
    <t>S5</t>
  </si>
  <si>
    <t>Southern Ocean</t>
  </si>
  <si>
    <t>South Atlantic</t>
  </si>
  <si>
    <t>North Pacific</t>
  </si>
  <si>
    <t>dBa</t>
  </si>
  <si>
    <t>Depth</t>
  </si>
  <si>
    <t>Hsieh and Henderson,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</si>
</sst>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 "/>
    <numFmt numFmtId="165" formatCode="0.00_);[Red]\(0.00\)"/>
    <numFmt numFmtId="166" formatCode="0.0"/>
    <numFmt numFmtId="167" formatCode="0.0_ "/>
  </numFmts>
  <fonts count="28">
    <font>
      <sz val="11"/>
      <color theme="1"/>
      <name val="Times New Roman"/>
      <family val="2"/>
      <charset val="134"/>
    </font>
    <font>
      <sz val="9"/>
      <name val="Times New Roman"/>
      <family val="2"/>
      <charset val="134"/>
    </font>
    <font>
      <sz val="12"/>
      <color indexed="8"/>
      <name val="Arial"/>
      <family val="2"/>
    </font>
    <font>
      <sz val="9"/>
      <name val="宋体"/>
      <family val="2"/>
      <charset val="134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charset val="134"/>
      <scheme val="minor"/>
    </font>
    <font>
      <sz val="9"/>
      <name val="宋体"/>
      <family val="3"/>
      <charset val="134"/>
    </font>
    <font>
      <b/>
      <sz val="11"/>
      <color rgb="FFFF0000"/>
      <name val="Times New Roman"/>
      <family val="1"/>
    </font>
    <font>
      <sz val="11"/>
      <color theme="1"/>
      <name val="宋体"/>
      <family val="2"/>
      <charset val="134"/>
    </font>
    <font>
      <sz val="9"/>
      <name val="Calibri"/>
      <family val="2"/>
      <charset val="134"/>
      <scheme val="minor"/>
    </font>
    <font>
      <sz val="12"/>
      <color theme="1"/>
      <name val="ArialMT"/>
      <family val="2"/>
      <charset val="134"/>
    </font>
    <font>
      <sz val="12"/>
      <color theme="1"/>
      <name val="Times New Roman"/>
      <family val="1"/>
    </font>
    <font>
      <b/>
      <sz val="11"/>
      <color rgb="FF0000FF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2"/>
      <charset val="134"/>
    </font>
    <font>
      <b/>
      <sz val="11"/>
      <color theme="1"/>
      <name val="Times New Roman"/>
      <family val="1"/>
      <charset val="134"/>
    </font>
    <font>
      <sz val="11"/>
      <color theme="1"/>
      <name val="Times New Roman"/>
      <family val="1"/>
      <charset val="134"/>
    </font>
    <font>
      <sz val="12"/>
      <color theme="1"/>
      <name val="Times New Roman"/>
      <family val="1"/>
      <charset val="134"/>
    </font>
    <font>
      <strike/>
      <sz val="11"/>
      <color theme="1"/>
      <name val="Times New Roman"/>
      <family val="1"/>
      <charset val="134"/>
    </font>
    <font>
      <b/>
      <sz val="11"/>
      <color indexed="8"/>
      <name val="Times New Roman"/>
      <family val="1"/>
    </font>
    <font>
      <sz val="8"/>
      <name val="Times New Roman"/>
      <family val="2"/>
      <charset val="134"/>
    </font>
    <font>
      <sz val="12"/>
      <color rgb="FF222222"/>
      <name val="Times New Roman"/>
      <family val="1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0" fontId="2" fillId="0" borderId="0"/>
    <xf numFmtId="0" fontId="4" fillId="0" borderId="0"/>
    <xf numFmtId="0" fontId="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9" fillId="0" borderId="0"/>
    <xf numFmtId="0" fontId="19" fillId="0" borderId="0">
      <alignment vertical="center"/>
    </xf>
  </cellStyleXfs>
  <cellXfs count="8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6" fillId="0" borderId="0" xfId="2" applyFont="1"/>
    <xf numFmtId="0" fontId="6" fillId="0" borderId="1" xfId="3" applyFont="1" applyBorder="1" applyAlignment="1">
      <alignment horizontal="center" vertical="center"/>
    </xf>
    <xf numFmtId="0" fontId="6" fillId="0" borderId="1" xfId="3" quotePrefix="1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6" fillId="0" borderId="1" xfId="4" applyFont="1" applyBorder="1" applyAlignment="1">
      <alignment horizontal="center"/>
    </xf>
    <xf numFmtId="0" fontId="11" fillId="0" borderId="1" xfId="4" applyBorder="1" applyAlignment="1">
      <alignment horizontal="center"/>
    </xf>
    <xf numFmtId="0" fontId="16" fillId="0" borderId="1" xfId="4" applyFont="1" applyBorder="1" applyAlignment="1">
      <alignment horizontal="center" vertical="center"/>
    </xf>
    <xf numFmtId="0" fontId="17" fillId="0" borderId="1" xfId="4" applyFont="1" applyBorder="1" applyAlignment="1">
      <alignment horizontal="center" vertical="center"/>
    </xf>
    <xf numFmtId="0" fontId="14" fillId="0" borderId="1" xfId="4" applyFont="1" applyBorder="1" applyAlignment="1">
      <alignment horizontal="center" vertical="center"/>
    </xf>
    <xf numFmtId="0" fontId="11" fillId="0" borderId="0" xfId="4">
      <alignment vertical="center"/>
    </xf>
    <xf numFmtId="0" fontId="6" fillId="0" borderId="1" xfId="4" quotePrefix="1" applyFont="1" applyBorder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2" fontId="15" fillId="0" borderId="0" xfId="1" applyNumberFormat="1" applyFont="1" applyAlignment="1">
      <alignment horizontal="center" vertical="center"/>
    </xf>
    <xf numFmtId="2" fontId="10" fillId="0" borderId="0" xfId="1" applyNumberFormat="1" applyFont="1" applyAlignment="1">
      <alignment horizontal="center" vertical="center"/>
    </xf>
    <xf numFmtId="0" fontId="20" fillId="0" borderId="1" xfId="1" applyFont="1" applyBorder="1" applyAlignment="1">
      <alignment horizontal="center" vertical="center"/>
    </xf>
    <xf numFmtId="0" fontId="20" fillId="0" borderId="1" xfId="1" applyFont="1" applyBorder="1" applyAlignment="1">
      <alignment horizontal="center" vertical="center" wrapText="1"/>
    </xf>
    <xf numFmtId="2" fontId="21" fillId="0" borderId="1" xfId="3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0" borderId="1" xfId="2" applyFont="1" applyBorder="1" applyAlignment="1">
      <alignment horizontal="center" vertical="center"/>
    </xf>
    <xf numFmtId="2" fontId="22" fillId="0" borderId="1" xfId="6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2" fontId="21" fillId="0" borderId="1" xfId="2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1" fillId="0" borderId="1" xfId="4" applyFont="1" applyBorder="1" applyAlignment="1">
      <alignment horizontal="center" vertical="center"/>
    </xf>
    <xf numFmtId="165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0" fontId="21" fillId="0" borderId="1" xfId="3" applyFont="1" applyBorder="1" applyAlignment="1">
      <alignment horizontal="center" vertical="center"/>
    </xf>
    <xf numFmtId="2" fontId="20" fillId="0" borderId="1" xfId="1" applyNumberFormat="1" applyFont="1" applyBorder="1" applyAlignment="1">
      <alignment horizontal="center" vertical="center"/>
    </xf>
    <xf numFmtId="2" fontId="19" fillId="0" borderId="1" xfId="0" applyNumberFormat="1" applyFont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1" fontId="20" fillId="0" borderId="1" xfId="1" applyNumberFormat="1" applyFont="1" applyBorder="1" applyAlignment="1">
      <alignment horizontal="center" vertical="center"/>
    </xf>
    <xf numFmtId="2" fontId="21" fillId="0" borderId="1" xfId="2" applyNumberFormat="1" applyFont="1" applyBorder="1" applyAlignment="1">
      <alignment horizontal="center"/>
    </xf>
    <xf numFmtId="165" fontId="21" fillId="0" borderId="1" xfId="2" applyNumberFormat="1" applyFont="1" applyBorder="1" applyAlignment="1">
      <alignment horizontal="center"/>
    </xf>
    <xf numFmtId="164" fontId="19" fillId="0" borderId="1" xfId="0" applyNumberFormat="1" applyFont="1" applyBorder="1" applyAlignment="1">
      <alignment horizontal="center" vertical="center"/>
    </xf>
    <xf numFmtId="167" fontId="19" fillId="0" borderId="1" xfId="0" applyNumberFormat="1" applyFont="1" applyBorder="1" applyAlignment="1">
      <alignment horizontal="center" vertical="center"/>
    </xf>
    <xf numFmtId="166" fontId="19" fillId="0" borderId="1" xfId="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0" fontId="21" fillId="0" borderId="1" xfId="2" applyFont="1" applyBorder="1" applyAlignment="1">
      <alignment horizontal="center"/>
    </xf>
    <xf numFmtId="0" fontId="21" fillId="0" borderId="1" xfId="2" applyFont="1" applyBorder="1"/>
    <xf numFmtId="0" fontId="23" fillId="0" borderId="1" xfId="2" applyFont="1" applyBorder="1"/>
    <xf numFmtId="2" fontId="23" fillId="0" borderId="1" xfId="0" applyNumberFormat="1" applyFont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2" fontId="21" fillId="0" borderId="1" xfId="4" applyNumberFormat="1" applyFont="1" applyBorder="1" applyAlignment="1">
      <alignment horizontal="center"/>
    </xf>
    <xf numFmtId="164" fontId="20" fillId="0" borderId="1" xfId="2" applyNumberFormat="1" applyFont="1" applyBorder="1" applyAlignment="1">
      <alignment horizontal="center"/>
    </xf>
    <xf numFmtId="2" fontId="21" fillId="0" borderId="1" xfId="0" applyNumberFormat="1" applyFont="1" applyBorder="1" applyAlignment="1">
      <alignment horizontal="center"/>
    </xf>
    <xf numFmtId="1" fontId="21" fillId="0" borderId="1" xfId="0" applyNumberFormat="1" applyFont="1" applyBorder="1" applyAlignment="1">
      <alignment horizontal="center"/>
    </xf>
    <xf numFmtId="0" fontId="20" fillId="0" borderId="1" xfId="4" applyFont="1" applyBorder="1" applyAlignment="1">
      <alignment horizontal="center" vertical="center"/>
    </xf>
    <xf numFmtId="2" fontId="21" fillId="0" borderId="1" xfId="4" applyNumberFormat="1" applyFont="1" applyBorder="1" applyAlignment="1">
      <alignment horizontal="center" vertical="center"/>
    </xf>
    <xf numFmtId="2" fontId="23" fillId="0" borderId="1" xfId="5" applyNumberFormat="1" applyFont="1" applyBorder="1" applyAlignment="1">
      <alignment horizontal="center" vertical="center"/>
    </xf>
    <xf numFmtId="2" fontId="21" fillId="0" borderId="1" xfId="5" applyNumberFormat="1" applyFont="1" applyBorder="1" applyAlignment="1">
      <alignment horizontal="center" vertical="center"/>
    </xf>
    <xf numFmtId="166" fontId="6" fillId="0" borderId="1" xfId="4" applyNumberFormat="1" applyFont="1" applyBorder="1" applyAlignment="1">
      <alignment horizontal="center" vertical="center"/>
    </xf>
    <xf numFmtId="166" fontId="6" fillId="3" borderId="1" xfId="4" applyNumberFormat="1" applyFont="1" applyFill="1" applyBorder="1" applyAlignment="1">
      <alignment horizontal="center" vertical="center"/>
    </xf>
    <xf numFmtId="166" fontId="6" fillId="3" borderId="1" xfId="3" applyNumberFormat="1" applyFont="1" applyFill="1" applyBorder="1" applyAlignment="1">
      <alignment horizontal="center" vertical="center"/>
    </xf>
    <xf numFmtId="0" fontId="19" fillId="0" borderId="0" xfId="8">
      <alignment vertical="center"/>
    </xf>
    <xf numFmtId="2" fontId="20" fillId="3" borderId="1" xfId="1" applyNumberFormat="1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24" fillId="0" borderId="1" xfId="1" applyFont="1" applyBorder="1" applyAlignment="1">
      <alignment horizontal="center" vertical="center" wrapText="1"/>
    </xf>
    <xf numFmtId="2" fontId="5" fillId="4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/>
    </xf>
    <xf numFmtId="2" fontId="10" fillId="0" borderId="1" xfId="1" applyNumberFormat="1" applyFont="1" applyBorder="1" applyAlignment="1">
      <alignment horizontal="center" vertical="center"/>
    </xf>
    <xf numFmtId="2" fontId="15" fillId="5" borderId="1" xfId="1" applyNumberFormat="1" applyFont="1" applyFill="1" applyBorder="1" applyAlignment="1">
      <alignment horizontal="center" vertical="center"/>
    </xf>
    <xf numFmtId="2" fontId="5" fillId="6" borderId="1" xfId="1" applyNumberFormat="1" applyFont="1" applyFill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/>
    </xf>
    <xf numFmtId="2" fontId="6" fillId="0" borderId="1" xfId="4" applyNumberFormat="1" applyFont="1" applyBorder="1" applyAlignment="1">
      <alignment horizontal="center" vertical="center"/>
    </xf>
    <xf numFmtId="2" fontId="6" fillId="3" borderId="1" xfId="4" applyNumberFormat="1" applyFont="1" applyFill="1" applyBorder="1" applyAlignment="1">
      <alignment horizontal="center" vertical="center"/>
    </xf>
    <xf numFmtId="2" fontId="6" fillId="3" borderId="1" xfId="3" applyNumberFormat="1" applyFont="1" applyFill="1" applyBorder="1" applyAlignment="1">
      <alignment horizontal="center" vertical="center"/>
    </xf>
    <xf numFmtId="0" fontId="24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2" fontId="6" fillId="0" borderId="1" xfId="1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0" fontId="14" fillId="0" borderId="0" xfId="0" applyFont="1">
      <alignment vertical="center"/>
    </xf>
    <xf numFmtId="1" fontId="14" fillId="0" borderId="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</cellXfs>
  <cellStyles count="9">
    <cellStyle name="Normal" xfId="0" builtinId="0"/>
    <cellStyle name="Normal 2" xfId="4" xr:uid="{C8A79EBA-0B8F-4D12-8308-40896F813CBE}"/>
    <cellStyle name="Normal 2 2" xfId="6" xr:uid="{01E1F69F-7389-44F7-BEE7-A6AD0F61F812}"/>
    <cellStyle name="Normal 3" xfId="7" xr:uid="{85B4B31A-E888-4483-B0B5-791EB57BB5C9}"/>
    <cellStyle name="Normal 3 2" xfId="8" xr:uid="{2F820674-424E-4D13-B21C-2D3E597A2509}"/>
    <cellStyle name="常规 2" xfId="1" xr:uid="{B5FFA00A-2116-48FB-91D6-F13EB5A65008}"/>
    <cellStyle name="常规 2 3 2" xfId="5" xr:uid="{D4671685-8BAC-45ED-8EAB-98C694CCFEDE}"/>
    <cellStyle name="常规 3" xfId="2" xr:uid="{CB0C2B27-6E96-433C-B26C-39138E40D54A}"/>
    <cellStyle name="常规 4" xfId="3" xr:uid="{3B92EA6D-9CB4-43F2-82C0-7C96CC925FC2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891AF-9FD8-491D-ACF0-F29FF65AE235}">
  <dimension ref="A1:G100"/>
  <sheetViews>
    <sheetView tabSelected="1" workbookViewId="0">
      <selection activeCell="M15" sqref="M15"/>
    </sheetView>
  </sheetViews>
  <sheetFormatPr defaultRowHeight="14"/>
  <cols>
    <col min="1" max="1" width="15.1796875" style="12" bestFit="1" customWidth="1"/>
    <col min="2" max="2" width="7.6328125" style="12" bestFit="1" customWidth="1"/>
    <col min="3" max="3" width="8.08984375" style="12" bestFit="1" customWidth="1"/>
    <col min="4" max="4" width="12" style="12" bestFit="1" customWidth="1"/>
    <col min="5" max="5" width="8.7265625" style="12"/>
    <col min="6" max="6" width="12.90625" customWidth="1"/>
    <col min="7" max="7" width="14.26953125" style="12" customWidth="1"/>
    <col min="8" max="16384" width="8.7265625" style="12"/>
  </cols>
  <sheetData>
    <row r="1" spans="1:7" ht="18">
      <c r="A1" s="9" t="s">
        <v>155</v>
      </c>
      <c r="B1" s="10" t="s">
        <v>2</v>
      </c>
      <c r="C1" s="10" t="s">
        <v>3</v>
      </c>
      <c r="D1" s="11" t="s">
        <v>153</v>
      </c>
      <c r="E1" s="6" t="s">
        <v>154</v>
      </c>
      <c r="F1" s="74" t="s">
        <v>157</v>
      </c>
      <c r="G1" s="74" t="s">
        <v>156</v>
      </c>
    </row>
    <row r="2" spans="1:7">
      <c r="A2" s="7" t="s">
        <v>6</v>
      </c>
      <c r="B2" s="13">
        <v>1.248</v>
      </c>
      <c r="C2" s="13">
        <v>-11.446999999999999</v>
      </c>
      <c r="D2" s="7">
        <v>0.1</v>
      </c>
      <c r="E2" s="6" t="s">
        <v>7</v>
      </c>
      <c r="F2" s="70">
        <v>-95.043076923076924</v>
      </c>
      <c r="G2" s="70">
        <v>-29.655384615384612</v>
      </c>
    </row>
    <row r="3" spans="1:7">
      <c r="A3" s="7" t="s">
        <v>94</v>
      </c>
      <c r="B3" s="13">
        <v>2.5139999999999998</v>
      </c>
      <c r="C3" s="13">
        <v>-6.7960000000000003</v>
      </c>
      <c r="D3" s="7">
        <v>0.3</v>
      </c>
      <c r="E3" s="6" t="s">
        <v>7</v>
      </c>
      <c r="F3" s="70">
        <v>-93.84</v>
      </c>
      <c r="G3" s="70">
        <v>-29.279999999999998</v>
      </c>
    </row>
    <row r="4" spans="1:7">
      <c r="A4" s="7" t="s">
        <v>95</v>
      </c>
      <c r="B4" s="13">
        <v>2.165</v>
      </c>
      <c r="C4" s="13">
        <v>-8.0909999999999993</v>
      </c>
      <c r="D4" s="7">
        <v>0.5</v>
      </c>
      <c r="E4" s="6" t="s">
        <v>7</v>
      </c>
      <c r="F4" s="70">
        <v>-92.636923076923068</v>
      </c>
      <c r="G4" s="70">
        <v>-28.904615384615383</v>
      </c>
    </row>
    <row r="5" spans="1:7">
      <c r="A5" s="7" t="s">
        <v>96</v>
      </c>
      <c r="B5" s="13">
        <v>2.3420000000000001</v>
      </c>
      <c r="C5" s="13">
        <v>-7.48</v>
      </c>
      <c r="D5" s="7">
        <v>0.7</v>
      </c>
      <c r="E5" s="6" t="s">
        <v>7</v>
      </c>
      <c r="F5" s="70">
        <v>-91.433846153846147</v>
      </c>
      <c r="G5" s="70">
        <v>-28.529230769230768</v>
      </c>
    </row>
    <row r="6" spans="1:7">
      <c r="A6" s="7" t="s">
        <v>8</v>
      </c>
      <c r="B6" s="13">
        <v>2.5430000000000001</v>
      </c>
      <c r="C6" s="13">
        <v>-7.0410000000000004</v>
      </c>
      <c r="D6" s="7">
        <v>0.9</v>
      </c>
      <c r="E6" s="6" t="s">
        <v>7</v>
      </c>
      <c r="F6" s="70">
        <v>-90.230769230769226</v>
      </c>
      <c r="G6" s="70">
        <v>-28.153846153846153</v>
      </c>
    </row>
    <row r="7" spans="1:7">
      <c r="A7" s="7" t="s">
        <v>97</v>
      </c>
      <c r="B7" s="13">
        <v>2.1520000000000001</v>
      </c>
      <c r="C7" s="13">
        <v>-7.6349999999999998</v>
      </c>
      <c r="D7" s="7">
        <v>1.2</v>
      </c>
      <c r="E7" s="6" t="s">
        <v>7</v>
      </c>
      <c r="F7" s="70">
        <v>-88.426153846153838</v>
      </c>
      <c r="G7" s="70">
        <v>-27.590769230769229</v>
      </c>
    </row>
    <row r="8" spans="1:7">
      <c r="A8" s="7" t="s">
        <v>98</v>
      </c>
      <c r="B8" s="13">
        <v>1.2330000000000001</v>
      </c>
      <c r="C8" s="13">
        <v>-13.727</v>
      </c>
      <c r="D8" s="7">
        <v>1.4</v>
      </c>
      <c r="E8" s="6" t="s">
        <v>7</v>
      </c>
      <c r="F8" s="70">
        <v>-87.223076923076917</v>
      </c>
      <c r="G8" s="70">
        <v>-27.215384615384615</v>
      </c>
    </row>
    <row r="9" spans="1:7">
      <c r="A9" s="7" t="s">
        <v>99</v>
      </c>
      <c r="B9" s="13">
        <v>2.8159999999999998</v>
      </c>
      <c r="C9" s="13">
        <v>-5.9809999999999999</v>
      </c>
      <c r="D9" s="7">
        <v>1.6</v>
      </c>
      <c r="E9" s="6" t="s">
        <v>7</v>
      </c>
      <c r="F9" s="70">
        <v>-86.02</v>
      </c>
      <c r="G9" s="70">
        <v>-26.839999999999996</v>
      </c>
    </row>
    <row r="10" spans="1:7">
      <c r="A10" s="7" t="s">
        <v>9</v>
      </c>
      <c r="B10" s="13">
        <v>2.8490000000000002</v>
      </c>
      <c r="C10" s="13">
        <v>-5.4059999999999997</v>
      </c>
      <c r="D10" s="7">
        <v>1.8</v>
      </c>
      <c r="E10" s="6" t="s">
        <v>7</v>
      </c>
      <c r="F10" s="70">
        <v>-84.816923076923075</v>
      </c>
      <c r="G10" s="70">
        <v>-26.464615384615382</v>
      </c>
    </row>
    <row r="11" spans="1:7">
      <c r="A11" s="7" t="s">
        <v>100</v>
      </c>
      <c r="B11" s="13">
        <v>2.8540000000000001</v>
      </c>
      <c r="C11" s="13">
        <v>-5.4870000000000001</v>
      </c>
      <c r="D11" s="7">
        <v>2</v>
      </c>
      <c r="E11" s="6" t="s">
        <v>7</v>
      </c>
      <c r="F11" s="70">
        <v>-83.613846153846154</v>
      </c>
      <c r="G11" s="70">
        <v>-26.089230769230767</v>
      </c>
    </row>
    <row r="12" spans="1:7">
      <c r="A12" s="7" t="s">
        <v>101</v>
      </c>
      <c r="B12" s="13">
        <v>2.7850000000000001</v>
      </c>
      <c r="C12" s="13">
        <v>-5.569</v>
      </c>
      <c r="D12" s="7">
        <v>2.2000000000000002</v>
      </c>
      <c r="E12" s="6" t="s">
        <v>7</v>
      </c>
      <c r="F12" s="70">
        <v>-82.410769230769233</v>
      </c>
      <c r="G12" s="70">
        <v>-25.713846153846152</v>
      </c>
    </row>
    <row r="13" spans="1:7">
      <c r="A13" s="7" t="s">
        <v>102</v>
      </c>
      <c r="B13" s="13">
        <v>2.4569999999999999</v>
      </c>
      <c r="C13" s="13">
        <v>-9.3840000000000003</v>
      </c>
      <c r="D13" s="7">
        <v>2.5</v>
      </c>
      <c r="E13" s="6" t="s">
        <v>7</v>
      </c>
      <c r="F13" s="70">
        <v>-80.606153846153845</v>
      </c>
      <c r="G13" s="70">
        <v>-25.150769230769228</v>
      </c>
    </row>
    <row r="14" spans="1:7">
      <c r="A14" s="7" t="s">
        <v>10</v>
      </c>
      <c r="B14" s="13">
        <v>2.0699999999999998</v>
      </c>
      <c r="C14" s="13">
        <v>-7.2610000000000001</v>
      </c>
      <c r="D14" s="7">
        <v>2.9</v>
      </c>
      <c r="E14" s="6" t="s">
        <v>7</v>
      </c>
      <c r="F14" s="71">
        <v>-78.2</v>
      </c>
      <c r="G14" s="70">
        <v>-24.4</v>
      </c>
    </row>
    <row r="15" spans="1:7">
      <c r="A15" s="7" t="s">
        <v>103</v>
      </c>
      <c r="B15" s="13">
        <v>1.8440000000000001</v>
      </c>
      <c r="C15" s="13">
        <v>-9.3780000000000001</v>
      </c>
      <c r="D15" s="7">
        <v>3.1</v>
      </c>
      <c r="E15" s="6" t="s">
        <v>7</v>
      </c>
      <c r="F15" s="70">
        <v>-76.996923076923082</v>
      </c>
      <c r="G15" s="70">
        <v>-24.024615384615384</v>
      </c>
    </row>
    <row r="16" spans="1:7">
      <c r="A16" s="7" t="s">
        <v>104</v>
      </c>
      <c r="B16" s="13">
        <v>1.462</v>
      </c>
      <c r="C16" s="13">
        <v>-8.0020000000000007</v>
      </c>
      <c r="D16" s="7">
        <v>3.4</v>
      </c>
      <c r="E16" s="6" t="s">
        <v>7</v>
      </c>
      <c r="F16" s="70">
        <v>-75.192307692307693</v>
      </c>
      <c r="G16" s="70">
        <v>-23.46153846153846</v>
      </c>
    </row>
    <row r="17" spans="1:7">
      <c r="A17" s="7" t="s">
        <v>105</v>
      </c>
      <c r="B17" s="13">
        <v>-0.42299999999999999</v>
      </c>
      <c r="C17" s="13">
        <v>-8.8550000000000004</v>
      </c>
      <c r="D17" s="7">
        <v>3.6</v>
      </c>
      <c r="E17" s="6" t="s">
        <v>7</v>
      </c>
      <c r="F17" s="70">
        <v>-73.989230769230772</v>
      </c>
      <c r="G17" s="70">
        <v>-23.086153846153842</v>
      </c>
    </row>
    <row r="18" spans="1:7">
      <c r="A18" s="7" t="s">
        <v>11</v>
      </c>
      <c r="B18" s="13">
        <v>2.5819999999999999</v>
      </c>
      <c r="C18" s="13">
        <v>-6.0510000000000002</v>
      </c>
      <c r="D18" s="7">
        <v>4</v>
      </c>
      <c r="E18" s="6" t="s">
        <v>143</v>
      </c>
      <c r="F18" s="70">
        <v>-71.583076923076931</v>
      </c>
      <c r="G18" s="70">
        <v>-22.335384615384612</v>
      </c>
    </row>
    <row r="19" spans="1:7">
      <c r="A19" s="7" t="s">
        <v>106</v>
      </c>
      <c r="B19" s="13">
        <v>2.3610000000000002</v>
      </c>
      <c r="C19" s="13">
        <v>-5.7910000000000004</v>
      </c>
      <c r="D19" s="7">
        <v>4.2</v>
      </c>
      <c r="E19" s="6" t="s">
        <v>143</v>
      </c>
      <c r="F19" s="70">
        <v>-70.38000000000001</v>
      </c>
      <c r="G19" s="70">
        <v>-21.959999999999997</v>
      </c>
    </row>
    <row r="20" spans="1:7">
      <c r="A20" s="7" t="s">
        <v>107</v>
      </c>
      <c r="B20" s="13">
        <v>2.2200000000000002</v>
      </c>
      <c r="C20" s="13">
        <v>-6.3520000000000003</v>
      </c>
      <c r="D20" s="7">
        <v>4.5</v>
      </c>
      <c r="E20" s="6" t="s">
        <v>143</v>
      </c>
      <c r="F20" s="70">
        <v>-68.575384615384621</v>
      </c>
      <c r="G20" s="70">
        <v>-21.396923076923073</v>
      </c>
    </row>
    <row r="21" spans="1:7">
      <c r="A21" s="7" t="s">
        <v>108</v>
      </c>
      <c r="B21" s="13">
        <v>2.1560000000000001</v>
      </c>
      <c r="C21" s="13">
        <v>-6.9939999999999998</v>
      </c>
      <c r="D21" s="7">
        <v>4.8</v>
      </c>
      <c r="E21" s="6" t="s">
        <v>143</v>
      </c>
      <c r="F21" s="70">
        <v>-66.770769230769233</v>
      </c>
      <c r="G21" s="70">
        <v>-20.833846153846153</v>
      </c>
    </row>
    <row r="22" spans="1:7">
      <c r="A22" s="7" t="s">
        <v>12</v>
      </c>
      <c r="B22" s="13">
        <v>2.4460000000000002</v>
      </c>
      <c r="C22" s="13">
        <v>-6.1769999999999996</v>
      </c>
      <c r="D22" s="7">
        <v>5.0999999999999996</v>
      </c>
      <c r="E22" s="6" t="s">
        <v>143</v>
      </c>
      <c r="F22" s="70">
        <v>-64.966153846153844</v>
      </c>
      <c r="G22" s="70">
        <v>-20.270769230769229</v>
      </c>
    </row>
    <row r="23" spans="1:7">
      <c r="A23" s="7" t="s">
        <v>13</v>
      </c>
      <c r="B23" s="13">
        <v>2.2829999999999999</v>
      </c>
      <c r="C23" s="13">
        <v>-6.8490000000000002</v>
      </c>
      <c r="D23" s="7">
        <v>6</v>
      </c>
      <c r="E23" s="6" t="s">
        <v>143</v>
      </c>
      <c r="F23" s="70">
        <v>-59.552307692307693</v>
      </c>
      <c r="G23" s="70">
        <v>-18.581538461538461</v>
      </c>
    </row>
    <row r="24" spans="1:7">
      <c r="A24" s="7" t="s">
        <v>109</v>
      </c>
      <c r="B24" s="13">
        <v>2.29</v>
      </c>
      <c r="C24" s="13">
        <v>-7.0220000000000002</v>
      </c>
      <c r="D24" s="7">
        <v>6.5</v>
      </c>
      <c r="E24" s="6" t="s">
        <v>143</v>
      </c>
      <c r="F24" s="70">
        <v>-56.544615384615383</v>
      </c>
      <c r="G24" s="70">
        <v>-17.643076923076922</v>
      </c>
    </row>
    <row r="25" spans="1:7">
      <c r="A25" s="7" t="s">
        <v>110</v>
      </c>
      <c r="B25" s="13">
        <v>2.4889999999999999</v>
      </c>
      <c r="C25" s="13">
        <v>-8.3780000000000001</v>
      </c>
      <c r="D25" s="7">
        <v>6.7</v>
      </c>
      <c r="E25" s="6" t="s">
        <v>143</v>
      </c>
      <c r="F25" s="70">
        <v>-55.341538461538462</v>
      </c>
      <c r="G25" s="70">
        <v>-17.267692307692307</v>
      </c>
    </row>
    <row r="26" spans="1:7">
      <c r="A26" s="7" t="s">
        <v>14</v>
      </c>
      <c r="B26" s="13">
        <v>1.964</v>
      </c>
      <c r="C26" s="13">
        <v>-7.3479999999999999</v>
      </c>
      <c r="D26" s="7">
        <v>7</v>
      </c>
      <c r="E26" s="6" t="s">
        <v>143</v>
      </c>
      <c r="F26" s="70">
        <v>-53.536923076923081</v>
      </c>
      <c r="G26" s="70">
        <v>-16.704615384615384</v>
      </c>
    </row>
    <row r="27" spans="1:7">
      <c r="A27" s="7" t="s">
        <v>111</v>
      </c>
      <c r="B27" s="13">
        <v>2.4119999999999999</v>
      </c>
      <c r="C27" s="13">
        <v>-7.1609999999999996</v>
      </c>
      <c r="D27" s="7">
        <v>7.3</v>
      </c>
      <c r="E27" s="6" t="s">
        <v>143</v>
      </c>
      <c r="F27" s="70">
        <v>-51.7323076923077</v>
      </c>
      <c r="G27" s="70">
        <v>-16.14153846153846</v>
      </c>
    </row>
    <row r="28" spans="1:7">
      <c r="A28" s="7" t="s">
        <v>112</v>
      </c>
      <c r="B28" s="13">
        <v>2.048</v>
      </c>
      <c r="C28" s="13">
        <v>-7.02</v>
      </c>
      <c r="D28" s="7">
        <v>7.5</v>
      </c>
      <c r="E28" s="6" t="s">
        <v>143</v>
      </c>
      <c r="F28" s="70">
        <v>-50.529230769230779</v>
      </c>
      <c r="G28" s="70">
        <v>-15.766153846153845</v>
      </c>
    </row>
    <row r="29" spans="1:7">
      <c r="A29" s="7" t="s">
        <v>113</v>
      </c>
      <c r="B29" s="13">
        <v>2.4510000000000001</v>
      </c>
      <c r="C29" s="13">
        <v>-6.23</v>
      </c>
      <c r="D29" s="7">
        <v>7.75</v>
      </c>
      <c r="E29" s="6" t="s">
        <v>143</v>
      </c>
      <c r="F29" s="70">
        <v>-49.025384615384624</v>
      </c>
      <c r="G29" s="70">
        <v>-15.296923076923076</v>
      </c>
    </row>
    <row r="30" spans="1:7">
      <c r="A30" s="7" t="s">
        <v>15</v>
      </c>
      <c r="B30" s="13">
        <v>2.569</v>
      </c>
      <c r="C30" s="13">
        <v>-6.4560000000000004</v>
      </c>
      <c r="D30" s="7">
        <v>8</v>
      </c>
      <c r="E30" s="6" t="s">
        <v>143</v>
      </c>
      <c r="F30" s="70">
        <v>-47.521538461538469</v>
      </c>
      <c r="G30" s="70">
        <v>-14.827692307692306</v>
      </c>
    </row>
    <row r="31" spans="1:7">
      <c r="A31" s="7" t="s">
        <v>114</v>
      </c>
      <c r="B31" s="13">
        <v>2.577</v>
      </c>
      <c r="C31" s="13">
        <v>-6.0469999999999997</v>
      </c>
      <c r="D31" s="7">
        <v>8.25</v>
      </c>
      <c r="E31" s="6" t="s">
        <v>143</v>
      </c>
      <c r="F31" s="70">
        <v>-46.017692307692315</v>
      </c>
      <c r="G31" s="70">
        <v>-14.358461538461537</v>
      </c>
    </row>
    <row r="32" spans="1:7">
      <c r="A32" s="7" t="s">
        <v>115</v>
      </c>
      <c r="B32" s="13">
        <v>2.3929999999999998</v>
      </c>
      <c r="C32" s="13">
        <v>-7.2590000000000003</v>
      </c>
      <c r="D32" s="7">
        <v>8.4</v>
      </c>
      <c r="E32" s="6" t="s">
        <v>143</v>
      </c>
      <c r="F32" s="70">
        <v>-45.11538461538462</v>
      </c>
      <c r="G32" s="70">
        <v>-14.076923076923075</v>
      </c>
    </row>
    <row r="33" spans="1:7">
      <c r="A33" s="7" t="s">
        <v>116</v>
      </c>
      <c r="B33" s="13">
        <v>2.4359999999999999</v>
      </c>
      <c r="C33" s="13">
        <v>-6.3650000000000002</v>
      </c>
      <c r="D33" s="7">
        <v>8.6999999999999993</v>
      </c>
      <c r="E33" s="6" t="s">
        <v>143</v>
      </c>
      <c r="F33" s="70">
        <v>-43.310769230769239</v>
      </c>
      <c r="G33" s="70">
        <v>-13.513846153846155</v>
      </c>
    </row>
    <row r="34" spans="1:7">
      <c r="A34" s="7" t="s">
        <v>16</v>
      </c>
      <c r="B34" s="13">
        <v>2.2679999999999998</v>
      </c>
      <c r="C34" s="13">
        <v>-7.1230000000000002</v>
      </c>
      <c r="D34" s="7">
        <v>9</v>
      </c>
      <c r="E34" s="6" t="s">
        <v>143</v>
      </c>
      <c r="F34" s="70">
        <v>-41.50615384615385</v>
      </c>
      <c r="G34" s="70">
        <v>-12.950769230769231</v>
      </c>
    </row>
    <row r="35" spans="1:7">
      <c r="A35" s="7" t="s">
        <v>117</v>
      </c>
      <c r="B35" s="13">
        <v>2.1890000000000001</v>
      </c>
      <c r="C35" s="13">
        <v>-6.9939999999999998</v>
      </c>
      <c r="D35" s="7">
        <v>9.25</v>
      </c>
      <c r="E35" s="6" t="s">
        <v>143</v>
      </c>
      <c r="F35" s="70">
        <v>-40.002307692307696</v>
      </c>
      <c r="G35" s="70">
        <v>-12.481538461538461</v>
      </c>
    </row>
    <row r="36" spans="1:7">
      <c r="A36" s="7" t="s">
        <v>118</v>
      </c>
      <c r="B36" s="13">
        <v>2.4060000000000001</v>
      </c>
      <c r="C36" s="13">
        <v>-7.2530000000000001</v>
      </c>
      <c r="D36" s="7">
        <v>9.4</v>
      </c>
      <c r="E36" s="6" t="s">
        <v>143</v>
      </c>
      <c r="F36" s="70">
        <v>-39.1</v>
      </c>
      <c r="G36" s="70">
        <v>-12.2</v>
      </c>
    </row>
    <row r="37" spans="1:7">
      <c r="A37" s="7" t="s">
        <v>119</v>
      </c>
      <c r="B37" s="13">
        <v>1.915</v>
      </c>
      <c r="C37" s="13">
        <v>-7.5629999999999997</v>
      </c>
      <c r="D37" s="7">
        <v>9.6999999999999993</v>
      </c>
      <c r="E37" s="6" t="s">
        <v>143</v>
      </c>
      <c r="F37" s="70">
        <v>-37.295384615384627</v>
      </c>
      <c r="G37" s="70">
        <v>-11.636923076923079</v>
      </c>
    </row>
    <row r="38" spans="1:7">
      <c r="A38" s="7" t="s">
        <v>17</v>
      </c>
      <c r="B38" s="13">
        <v>2.4620000000000002</v>
      </c>
      <c r="C38" s="13">
        <v>-7.1059999999999999</v>
      </c>
      <c r="D38" s="7">
        <v>9.9</v>
      </c>
      <c r="E38" s="6" t="s">
        <v>143</v>
      </c>
      <c r="F38" s="70">
        <v>-36.092307692307699</v>
      </c>
      <c r="G38" s="70">
        <v>-11.261538461538461</v>
      </c>
    </row>
    <row r="39" spans="1:7">
      <c r="A39" s="7" t="s">
        <v>120</v>
      </c>
      <c r="B39" s="13">
        <v>2.4809999999999999</v>
      </c>
      <c r="C39" s="13">
        <v>-6.2350000000000003</v>
      </c>
      <c r="D39" s="7">
        <v>10.25</v>
      </c>
      <c r="E39" s="6" t="s">
        <v>143</v>
      </c>
      <c r="F39" s="70">
        <v>-33.986923076923084</v>
      </c>
      <c r="G39" s="70">
        <v>-10.604615384615384</v>
      </c>
    </row>
    <row r="40" spans="1:7">
      <c r="A40" s="7" t="s">
        <v>121</v>
      </c>
      <c r="B40" s="13">
        <v>2.2360000000000002</v>
      </c>
      <c r="C40" s="13">
        <v>-6.4</v>
      </c>
      <c r="D40" s="7">
        <v>10.5</v>
      </c>
      <c r="E40" s="6" t="s">
        <v>143</v>
      </c>
      <c r="F40" s="70">
        <v>-32.483076923076929</v>
      </c>
      <c r="G40" s="70">
        <v>-10.135384615384615</v>
      </c>
    </row>
    <row r="41" spans="1:7">
      <c r="A41" s="7" t="s">
        <v>122</v>
      </c>
      <c r="B41" s="13">
        <v>2.0139999999999998</v>
      </c>
      <c r="C41" s="13">
        <v>-6.91</v>
      </c>
      <c r="D41" s="7">
        <v>10.7</v>
      </c>
      <c r="E41" s="6" t="s">
        <v>143</v>
      </c>
      <c r="F41" s="70">
        <v>-31.280000000000008</v>
      </c>
      <c r="G41" s="70">
        <v>-9.7600000000000016</v>
      </c>
    </row>
    <row r="42" spans="1:7">
      <c r="A42" s="7" t="s">
        <v>18</v>
      </c>
      <c r="B42" s="13">
        <v>2.2440000000000002</v>
      </c>
      <c r="C42" s="13">
        <v>-6.1779999999999999</v>
      </c>
      <c r="D42" s="7">
        <v>10.9</v>
      </c>
      <c r="E42" s="6" t="s">
        <v>143</v>
      </c>
      <c r="F42" s="70">
        <v>-30.07692307692308</v>
      </c>
      <c r="G42" s="70">
        <v>-9.3846153846153832</v>
      </c>
    </row>
    <row r="43" spans="1:7">
      <c r="A43" s="7" t="s">
        <v>123</v>
      </c>
      <c r="B43" s="13">
        <v>2.0630000000000002</v>
      </c>
      <c r="C43" s="13">
        <v>-6.9119999999999999</v>
      </c>
      <c r="D43" s="7">
        <v>11.2</v>
      </c>
      <c r="E43" s="6" t="s">
        <v>143</v>
      </c>
      <c r="F43" s="70">
        <v>-28.272307692307702</v>
      </c>
      <c r="G43" s="70">
        <v>-8.8215384615384629</v>
      </c>
    </row>
    <row r="44" spans="1:7">
      <c r="A44" s="7" t="s">
        <v>124</v>
      </c>
      <c r="B44" s="13">
        <v>2.4079999999999999</v>
      </c>
      <c r="C44" s="13">
        <v>-6.7160000000000002</v>
      </c>
      <c r="D44" s="7">
        <v>11.6</v>
      </c>
      <c r="E44" s="6" t="s">
        <v>20</v>
      </c>
      <c r="F44" s="70">
        <v>-25.866153846153857</v>
      </c>
      <c r="G44" s="70">
        <v>-8.0707692307692316</v>
      </c>
    </row>
    <row r="45" spans="1:7">
      <c r="A45" s="7" t="s">
        <v>19</v>
      </c>
      <c r="B45" s="13">
        <v>2.3780000000000001</v>
      </c>
      <c r="C45" s="13">
        <v>-6.8310000000000004</v>
      </c>
      <c r="D45" s="7">
        <v>12</v>
      </c>
      <c r="E45" s="6" t="s">
        <v>20</v>
      </c>
      <c r="F45" s="70">
        <v>-23.460000000000008</v>
      </c>
      <c r="G45" s="70">
        <v>-7.32</v>
      </c>
    </row>
    <row r="46" spans="1:7">
      <c r="A46" s="7" t="s">
        <v>125</v>
      </c>
      <c r="B46" s="13">
        <v>2.4009999999999998</v>
      </c>
      <c r="C46" s="13">
        <v>-5.9909999999999997</v>
      </c>
      <c r="D46" s="7">
        <v>12.3</v>
      </c>
      <c r="E46" s="6" t="s">
        <v>20</v>
      </c>
      <c r="F46" s="70">
        <v>-21.655384615384619</v>
      </c>
      <c r="G46" s="70">
        <v>-6.7569230769230755</v>
      </c>
    </row>
    <row r="47" spans="1:7">
      <c r="A47" s="7" t="s">
        <v>126</v>
      </c>
      <c r="B47" s="13">
        <v>2.0750000000000002</v>
      </c>
      <c r="C47" s="13">
        <v>-7.1859999999999999</v>
      </c>
      <c r="D47" s="7">
        <v>12.5</v>
      </c>
      <c r="E47" s="6" t="s">
        <v>20</v>
      </c>
      <c r="F47" s="70">
        <v>-20.452307692307699</v>
      </c>
      <c r="G47" s="70">
        <v>-6.3815384615384607</v>
      </c>
    </row>
    <row r="48" spans="1:7">
      <c r="A48" s="7" t="s">
        <v>127</v>
      </c>
      <c r="B48" s="13">
        <v>2.0680000000000001</v>
      </c>
      <c r="C48" s="13">
        <v>-6.7279999999999998</v>
      </c>
      <c r="D48" s="7">
        <v>12.8</v>
      </c>
      <c r="E48" s="6" t="s">
        <v>20</v>
      </c>
      <c r="F48" s="70">
        <v>-18.64769230769231</v>
      </c>
      <c r="G48" s="70">
        <v>-5.8184615384615359</v>
      </c>
    </row>
    <row r="49" spans="1:7">
      <c r="A49" s="7" t="s">
        <v>21</v>
      </c>
      <c r="B49" s="13">
        <v>2.3010000000000002</v>
      </c>
      <c r="C49" s="13">
        <v>-9.7639999999999993</v>
      </c>
      <c r="D49" s="7">
        <v>13.1</v>
      </c>
      <c r="E49" s="6" t="s">
        <v>20</v>
      </c>
      <c r="F49" s="70">
        <v>-16.843076923076929</v>
      </c>
      <c r="G49" s="70">
        <v>-5.2553846153846138</v>
      </c>
    </row>
    <row r="50" spans="1:7">
      <c r="A50" s="7" t="s">
        <v>128</v>
      </c>
      <c r="B50" s="13">
        <v>2.653</v>
      </c>
      <c r="C50" s="13">
        <v>-6.9</v>
      </c>
      <c r="D50" s="7">
        <v>13.3</v>
      </c>
      <c r="E50" s="6" t="s">
        <v>20</v>
      </c>
      <c r="F50" s="70">
        <v>-15.64</v>
      </c>
      <c r="G50" s="70">
        <v>-4.8799999999999963</v>
      </c>
    </row>
    <row r="51" spans="1:7">
      <c r="A51" s="7" t="s">
        <v>129</v>
      </c>
      <c r="B51" s="13">
        <v>2.129</v>
      </c>
      <c r="C51" s="13">
        <v>-6.65</v>
      </c>
      <c r="D51" s="7">
        <v>13.6</v>
      </c>
      <c r="E51" s="6" t="s">
        <v>20</v>
      </c>
      <c r="F51" s="70">
        <v>-13.835384615384624</v>
      </c>
      <c r="G51" s="70">
        <v>-4.3169230769230751</v>
      </c>
    </row>
    <row r="52" spans="1:7">
      <c r="A52" s="7" t="s">
        <v>130</v>
      </c>
      <c r="B52" s="13">
        <v>2.4220000000000002</v>
      </c>
      <c r="C52" s="13">
        <v>-5.593</v>
      </c>
      <c r="D52" s="7">
        <v>13.8</v>
      </c>
      <c r="E52" s="6" t="s">
        <v>20</v>
      </c>
      <c r="F52" s="70">
        <v>-12.632307692307696</v>
      </c>
      <c r="G52" s="70">
        <v>-3.9415384615384585</v>
      </c>
    </row>
    <row r="53" spans="1:7">
      <c r="A53" s="7" t="s">
        <v>22</v>
      </c>
      <c r="B53" s="13">
        <v>2.3069999999999999</v>
      </c>
      <c r="C53" s="13">
        <v>-5.7869999999999999</v>
      </c>
      <c r="D53" s="7">
        <v>13.9</v>
      </c>
      <c r="E53" s="6" t="s">
        <v>20</v>
      </c>
      <c r="F53" s="70">
        <v>-12.030769230769238</v>
      </c>
      <c r="G53" s="70">
        <v>-3.7538461538461512</v>
      </c>
    </row>
    <row r="54" spans="1:7">
      <c r="A54" s="7" t="s">
        <v>131</v>
      </c>
      <c r="B54" s="13">
        <v>2.085</v>
      </c>
      <c r="C54" s="13">
        <v>-6.0579999999999998</v>
      </c>
      <c r="D54" s="7">
        <v>14.3</v>
      </c>
      <c r="E54" s="6" t="s">
        <v>20</v>
      </c>
      <c r="F54" s="70">
        <v>-9.624615384615387</v>
      </c>
      <c r="G54" s="70">
        <v>-3.0030769230769212</v>
      </c>
    </row>
    <row r="55" spans="1:7">
      <c r="A55" s="7" t="s">
        <v>23</v>
      </c>
      <c r="B55" s="13">
        <v>2.3380000000000001</v>
      </c>
      <c r="C55" s="13">
        <v>-6.4450000000000003</v>
      </c>
      <c r="D55" s="7">
        <v>14.6</v>
      </c>
      <c r="E55" s="6" t="s">
        <v>20</v>
      </c>
      <c r="F55" s="70">
        <v>-7.8200000000000074</v>
      </c>
      <c r="G55" s="70">
        <v>-2.4400000000000013</v>
      </c>
    </row>
    <row r="56" spans="1:7">
      <c r="A56" s="7" t="s">
        <v>132</v>
      </c>
      <c r="B56" s="13">
        <v>2.17</v>
      </c>
      <c r="C56" s="13">
        <v>-9.468</v>
      </c>
      <c r="D56" s="7">
        <v>14.75</v>
      </c>
      <c r="E56" s="6" t="s">
        <v>20</v>
      </c>
      <c r="F56" s="70">
        <v>-6.9176923076923122</v>
      </c>
      <c r="G56" s="70">
        <v>-2.1584615384615389</v>
      </c>
    </row>
    <row r="57" spans="1:7">
      <c r="A57" s="7" t="s">
        <v>24</v>
      </c>
      <c r="B57" s="13">
        <v>2.141</v>
      </c>
      <c r="C57" s="13">
        <v>-7.718</v>
      </c>
      <c r="D57" s="7">
        <v>15.1</v>
      </c>
      <c r="E57" s="6" t="s">
        <v>20</v>
      </c>
      <c r="F57" s="70">
        <v>-4.8123076923076979</v>
      </c>
      <c r="G57" s="70">
        <v>-1.5015384615384626</v>
      </c>
    </row>
    <row r="58" spans="1:7">
      <c r="A58" s="7" t="s">
        <v>25</v>
      </c>
      <c r="B58" s="13">
        <v>2.109</v>
      </c>
      <c r="C58" s="13">
        <v>-6.6420000000000003</v>
      </c>
      <c r="D58" s="7">
        <v>15.4</v>
      </c>
      <c r="E58" s="6" t="s">
        <v>20</v>
      </c>
      <c r="F58" s="70">
        <v>-3.0076923076923094</v>
      </c>
      <c r="G58" s="70">
        <v>-0.93846153846153868</v>
      </c>
    </row>
    <row r="59" spans="1:7">
      <c r="A59" s="7" t="s">
        <v>26</v>
      </c>
      <c r="B59" s="13">
        <v>1.861</v>
      </c>
      <c r="C59" s="13">
        <v>-9.9510000000000005</v>
      </c>
      <c r="D59" s="7">
        <v>15.6</v>
      </c>
      <c r="E59" s="6" t="s">
        <v>20</v>
      </c>
      <c r="F59" s="70">
        <v>-1.8046153846153885</v>
      </c>
      <c r="G59" s="70">
        <v>-0.56307692307692392</v>
      </c>
    </row>
    <row r="60" spans="1:7">
      <c r="A60" s="7" t="s">
        <v>133</v>
      </c>
      <c r="B60" s="13">
        <v>1.93</v>
      </c>
      <c r="C60" s="13">
        <v>-7.7590000000000003</v>
      </c>
      <c r="D60" s="7">
        <v>15.7</v>
      </c>
      <c r="E60" s="6" t="s">
        <v>20</v>
      </c>
      <c r="F60" s="70">
        <v>-1.2030769230769294</v>
      </c>
      <c r="G60" s="70">
        <v>-0.37538461538461704</v>
      </c>
    </row>
    <row r="61" spans="1:7">
      <c r="A61" s="7" t="s">
        <v>27</v>
      </c>
      <c r="B61" s="13">
        <v>2.4950000000000001</v>
      </c>
      <c r="C61" s="13">
        <v>-5.9340000000000002</v>
      </c>
      <c r="D61" s="7">
        <v>15.9</v>
      </c>
      <c r="E61" s="6" t="s">
        <v>20</v>
      </c>
      <c r="F61" s="71">
        <v>0</v>
      </c>
      <c r="G61" s="70">
        <v>0</v>
      </c>
    </row>
    <row r="62" spans="1:7">
      <c r="A62" s="7" t="s">
        <v>29</v>
      </c>
      <c r="B62" s="13">
        <v>0.82099999999999995</v>
      </c>
      <c r="C62" s="13">
        <v>-5.7060000000000004</v>
      </c>
      <c r="D62" s="7">
        <v>16.2</v>
      </c>
      <c r="E62" s="6" t="s">
        <v>28</v>
      </c>
      <c r="F62" s="75">
        <v>1.3762499999999969</v>
      </c>
      <c r="G62" s="70">
        <v>1.4774999999999969</v>
      </c>
    </row>
    <row r="63" spans="1:7">
      <c r="A63" s="7" t="s">
        <v>30</v>
      </c>
      <c r="B63" s="13">
        <v>-0.77</v>
      </c>
      <c r="C63" s="13">
        <v>-6.0350000000000001</v>
      </c>
      <c r="D63" s="7">
        <v>16.5</v>
      </c>
      <c r="E63" s="6" t="s">
        <v>28</v>
      </c>
      <c r="F63" s="75">
        <v>2.7525000000000017</v>
      </c>
      <c r="G63" s="70">
        <v>2.9550000000000023</v>
      </c>
    </row>
    <row r="64" spans="1:7">
      <c r="A64" s="7" t="s">
        <v>31</v>
      </c>
      <c r="B64" s="13">
        <v>-1.0860000000000001</v>
      </c>
      <c r="C64" s="13">
        <v>-6.0490000000000004</v>
      </c>
      <c r="D64" s="7">
        <v>16.7</v>
      </c>
      <c r="E64" s="6" t="s">
        <v>28</v>
      </c>
      <c r="F64" s="71">
        <v>3.67</v>
      </c>
      <c r="G64" s="70">
        <v>3.94</v>
      </c>
    </row>
    <row r="65" spans="1:7">
      <c r="A65" s="7" t="s">
        <v>33</v>
      </c>
      <c r="B65" s="13">
        <v>-1.093</v>
      </c>
      <c r="C65" s="13">
        <v>-6.2789999999999999</v>
      </c>
      <c r="D65" s="7">
        <v>16.899999999999999</v>
      </c>
      <c r="E65" s="6" t="s">
        <v>32</v>
      </c>
      <c r="F65" s="75">
        <v>9.0733333333333022</v>
      </c>
      <c r="G65" s="70">
        <v>9.4533333333332994</v>
      </c>
    </row>
    <row r="66" spans="1:7">
      <c r="A66" s="7" t="s">
        <v>34</v>
      </c>
      <c r="B66" s="13">
        <v>-0.93200000000000005</v>
      </c>
      <c r="C66" s="13">
        <v>-6.3129999999999997</v>
      </c>
      <c r="D66" s="7">
        <v>17.3</v>
      </c>
      <c r="E66" s="6" t="s">
        <v>32</v>
      </c>
      <c r="F66" s="71">
        <v>19.88</v>
      </c>
      <c r="G66" s="70">
        <v>20.48</v>
      </c>
    </row>
    <row r="67" spans="1:7">
      <c r="A67" s="7" t="s">
        <v>36</v>
      </c>
      <c r="B67" s="13">
        <v>-1.415</v>
      </c>
      <c r="C67" s="13">
        <v>-6.1260000000000003</v>
      </c>
      <c r="D67" s="7">
        <v>17.5</v>
      </c>
      <c r="E67" s="6" t="s">
        <v>35</v>
      </c>
      <c r="F67" s="75">
        <v>21.424999999999994</v>
      </c>
      <c r="G67" s="70">
        <v>22.056249999999995</v>
      </c>
    </row>
    <row r="68" spans="1:7">
      <c r="A68" s="7" t="s">
        <v>37</v>
      </c>
      <c r="B68" s="13">
        <v>-1.742</v>
      </c>
      <c r="C68" s="13">
        <v>-6.423</v>
      </c>
      <c r="D68" s="7">
        <v>17.8</v>
      </c>
      <c r="E68" s="6" t="s">
        <v>35</v>
      </c>
      <c r="F68" s="75">
        <v>23.7425</v>
      </c>
      <c r="G68" s="70">
        <v>24.420625000000001</v>
      </c>
    </row>
    <row r="69" spans="1:7">
      <c r="A69" s="7" t="s">
        <v>38</v>
      </c>
      <c r="B69" s="13">
        <v>-2.3969999999999998</v>
      </c>
      <c r="C69" s="13">
        <v>-6.3280000000000003</v>
      </c>
      <c r="D69" s="7">
        <v>18</v>
      </c>
      <c r="E69" s="6" t="s">
        <v>35</v>
      </c>
      <c r="F69" s="75">
        <v>25.287499999999994</v>
      </c>
      <c r="G69" s="70">
        <v>25.996874999999996</v>
      </c>
    </row>
    <row r="70" spans="1:7">
      <c r="A70" s="7" t="s">
        <v>39</v>
      </c>
      <c r="B70" s="13">
        <v>-2.0960000000000001</v>
      </c>
      <c r="C70" s="13">
        <v>-6.2279999999999998</v>
      </c>
      <c r="D70" s="7">
        <v>18.2</v>
      </c>
      <c r="E70" s="6" t="s">
        <v>35</v>
      </c>
      <c r="F70" s="75">
        <v>26.832499999999989</v>
      </c>
      <c r="G70" s="70">
        <v>27.57312499999999</v>
      </c>
    </row>
    <row r="71" spans="1:7">
      <c r="A71" s="7" t="s">
        <v>40</v>
      </c>
      <c r="B71" s="13">
        <v>-2.27</v>
      </c>
      <c r="C71" s="13">
        <v>-6.2249999999999996</v>
      </c>
      <c r="D71" s="7">
        <v>18.399999999999999</v>
      </c>
      <c r="E71" s="6" t="s">
        <v>35</v>
      </c>
      <c r="F71" s="75">
        <v>28.377499999999984</v>
      </c>
      <c r="G71" s="70">
        <v>29.149374999999985</v>
      </c>
    </row>
    <row r="72" spans="1:7">
      <c r="A72" s="7" t="s">
        <v>41</v>
      </c>
      <c r="B72" s="13">
        <v>-2.0390000000000001</v>
      </c>
      <c r="C72" s="13">
        <v>-6.3440000000000003</v>
      </c>
      <c r="D72" s="7">
        <v>18.600000000000001</v>
      </c>
      <c r="E72" s="6" t="s">
        <v>35</v>
      </c>
      <c r="F72" s="75">
        <v>29.922500000000007</v>
      </c>
      <c r="G72" s="70">
        <v>30.725625000000008</v>
      </c>
    </row>
    <row r="73" spans="1:7">
      <c r="A73" s="7" t="s">
        <v>42</v>
      </c>
      <c r="B73" s="13">
        <v>-2.262</v>
      </c>
      <c r="C73" s="13">
        <v>-6.3440000000000003</v>
      </c>
      <c r="D73" s="7">
        <v>18.8</v>
      </c>
      <c r="E73" s="6" t="s">
        <v>35</v>
      </c>
      <c r="F73" s="75">
        <v>31.467500000000001</v>
      </c>
      <c r="G73" s="70">
        <v>32.301875000000003</v>
      </c>
    </row>
    <row r="74" spans="1:7">
      <c r="A74" s="7" t="s">
        <v>43</v>
      </c>
      <c r="B74" s="13">
        <v>-2.4140000000000001</v>
      </c>
      <c r="C74" s="13">
        <v>-6.5730000000000004</v>
      </c>
      <c r="D74" s="7">
        <v>19</v>
      </c>
      <c r="E74" s="6" t="s">
        <v>35</v>
      </c>
      <c r="F74" s="75">
        <v>33.012499999999996</v>
      </c>
      <c r="G74" s="70">
        <v>33.878124999999997</v>
      </c>
    </row>
    <row r="75" spans="1:7">
      <c r="A75" s="7" t="s">
        <v>44</v>
      </c>
      <c r="B75" s="13">
        <v>-2.2810000000000001</v>
      </c>
      <c r="C75" s="13">
        <v>-6.47</v>
      </c>
      <c r="D75" s="7">
        <v>19.2</v>
      </c>
      <c r="E75" s="6" t="s">
        <v>35</v>
      </c>
      <c r="F75" s="75">
        <v>34.55749999999999</v>
      </c>
      <c r="G75" s="70">
        <v>35.454374999999992</v>
      </c>
    </row>
    <row r="76" spans="1:7">
      <c r="A76" s="7" t="s">
        <v>45</v>
      </c>
      <c r="B76" s="13">
        <v>-2.6880000000000002</v>
      </c>
      <c r="C76" s="13">
        <v>-6.3369999999999997</v>
      </c>
      <c r="D76" s="7">
        <v>19.399999999999999</v>
      </c>
      <c r="E76" s="6" t="s">
        <v>35</v>
      </c>
      <c r="F76" s="75">
        <v>36.102499999999992</v>
      </c>
      <c r="G76" s="70">
        <v>37.030624999999986</v>
      </c>
    </row>
    <row r="77" spans="1:7">
      <c r="A77" s="7" t="s">
        <v>46</v>
      </c>
      <c r="B77" s="13">
        <v>-2.472</v>
      </c>
      <c r="C77" s="13">
        <v>-6.4550000000000001</v>
      </c>
      <c r="D77" s="7">
        <v>19.600000000000001</v>
      </c>
      <c r="E77" s="6" t="s">
        <v>35</v>
      </c>
      <c r="F77" s="75">
        <v>37.647500000000008</v>
      </c>
      <c r="G77" s="70">
        <v>38.606875000000016</v>
      </c>
    </row>
    <row r="78" spans="1:7">
      <c r="A78" s="7" t="s">
        <v>47</v>
      </c>
      <c r="B78" s="13">
        <v>-2.6829999999999998</v>
      </c>
      <c r="C78" s="13">
        <v>-6.4390000000000001</v>
      </c>
      <c r="D78" s="7">
        <v>19.8</v>
      </c>
      <c r="E78" s="6" t="s">
        <v>35</v>
      </c>
      <c r="F78" s="75">
        <v>39.19250000000001</v>
      </c>
      <c r="G78" s="70">
        <v>40.183125000000004</v>
      </c>
    </row>
    <row r="79" spans="1:7">
      <c r="A79" s="7" t="s">
        <v>48</v>
      </c>
      <c r="B79" s="13">
        <v>-2.7160000000000002</v>
      </c>
      <c r="C79" s="13">
        <v>-6.2539999999999996</v>
      </c>
      <c r="D79" s="7">
        <v>20</v>
      </c>
      <c r="E79" s="6" t="s">
        <v>35</v>
      </c>
      <c r="F79" s="75">
        <v>40.737499999999997</v>
      </c>
      <c r="G79" s="70">
        <v>41.759375000000006</v>
      </c>
    </row>
    <row r="80" spans="1:7">
      <c r="A80" s="7" t="s">
        <v>49</v>
      </c>
      <c r="B80" s="13">
        <v>-3.0209999999999999</v>
      </c>
      <c r="C80" s="13">
        <v>-6.51</v>
      </c>
      <c r="D80" s="7">
        <v>20.3</v>
      </c>
      <c r="E80" s="6" t="s">
        <v>35</v>
      </c>
      <c r="F80" s="75">
        <v>43.055000000000007</v>
      </c>
      <c r="G80" s="70">
        <v>44.123750000000008</v>
      </c>
    </row>
    <row r="81" spans="1:7">
      <c r="A81" s="7" t="s">
        <v>50</v>
      </c>
      <c r="B81" s="13">
        <v>-3.1850000000000001</v>
      </c>
      <c r="C81" s="13">
        <v>-7.1459999999999999</v>
      </c>
      <c r="D81" s="7">
        <v>20.5</v>
      </c>
      <c r="E81" s="6" t="s">
        <v>35</v>
      </c>
      <c r="F81" s="71">
        <v>44.6</v>
      </c>
      <c r="G81" s="70">
        <v>45.7</v>
      </c>
    </row>
    <row r="82" spans="1:7">
      <c r="A82" s="7" t="s">
        <v>52</v>
      </c>
      <c r="B82" s="13">
        <v>-3.0419999999999998</v>
      </c>
      <c r="C82" s="13">
        <v>-6.82</v>
      </c>
      <c r="D82" s="7">
        <v>20.8</v>
      </c>
      <c r="E82" s="6" t="s">
        <v>51</v>
      </c>
      <c r="F82" s="75">
        <v>47.864285714285721</v>
      </c>
      <c r="G82" s="70">
        <v>47.885714285714293</v>
      </c>
    </row>
    <row r="83" spans="1:7">
      <c r="A83" s="7" t="s">
        <v>53</v>
      </c>
      <c r="B83" s="13">
        <v>-2.9780000000000002</v>
      </c>
      <c r="C83" s="13">
        <v>-6.6319999999999997</v>
      </c>
      <c r="D83" s="7">
        <v>21</v>
      </c>
      <c r="E83" s="6" t="s">
        <v>51</v>
      </c>
      <c r="F83" s="75">
        <v>50.040476190476191</v>
      </c>
      <c r="G83" s="70">
        <v>49.342857142857142</v>
      </c>
    </row>
    <row r="84" spans="1:7">
      <c r="A84" s="7" t="s">
        <v>54</v>
      </c>
      <c r="B84" s="13">
        <v>-2.988</v>
      </c>
      <c r="C84" s="13">
        <v>-6.5289999999999999</v>
      </c>
      <c r="D84" s="7">
        <v>21.3</v>
      </c>
      <c r="E84" s="6" t="s">
        <v>51</v>
      </c>
      <c r="F84" s="75">
        <v>53.304761904761911</v>
      </c>
      <c r="G84" s="70">
        <v>51.528571428571432</v>
      </c>
    </row>
    <row r="85" spans="1:7">
      <c r="A85" s="7" t="s">
        <v>56</v>
      </c>
      <c r="B85" s="13">
        <v>-3.0920000000000001</v>
      </c>
      <c r="C85" s="13">
        <v>-6.5819999999999999</v>
      </c>
      <c r="D85" s="7">
        <v>21.6</v>
      </c>
      <c r="E85" s="6" t="s">
        <v>51</v>
      </c>
      <c r="F85" s="75">
        <v>56.56904761904763</v>
      </c>
      <c r="G85" s="70">
        <v>53.714285714285722</v>
      </c>
    </row>
    <row r="86" spans="1:7">
      <c r="A86" s="7" t="s">
        <v>57</v>
      </c>
      <c r="B86" s="13">
        <v>-3.121</v>
      </c>
      <c r="C86" s="13">
        <v>-6.8150000000000004</v>
      </c>
      <c r="D86" s="7">
        <v>21.8</v>
      </c>
      <c r="E86" s="6" t="s">
        <v>51</v>
      </c>
      <c r="F86" s="75">
        <v>58.745238095238093</v>
      </c>
      <c r="G86" s="70">
        <v>55.171428571428571</v>
      </c>
    </row>
    <row r="87" spans="1:7">
      <c r="A87" s="7" t="s">
        <v>58</v>
      </c>
      <c r="B87" s="13">
        <v>-3.3029999999999999</v>
      </c>
      <c r="C87" s="13">
        <v>-6.8150000000000004</v>
      </c>
      <c r="D87" s="7">
        <v>22</v>
      </c>
      <c r="E87" s="6" t="s">
        <v>51</v>
      </c>
      <c r="F87" s="75">
        <v>60.921428571428564</v>
      </c>
      <c r="G87" s="70">
        <v>56.628571428571419</v>
      </c>
    </row>
    <row r="88" spans="1:7">
      <c r="A88" s="7" t="s">
        <v>59</v>
      </c>
      <c r="B88" s="13">
        <v>-3.3530000000000002</v>
      </c>
      <c r="C88" s="13">
        <v>-7.1790000000000003</v>
      </c>
      <c r="D88" s="7">
        <v>22.2</v>
      </c>
      <c r="E88" s="6" t="s">
        <v>51</v>
      </c>
      <c r="F88" s="75">
        <v>63.097619047619034</v>
      </c>
      <c r="G88" s="70">
        <v>58.085714285714275</v>
      </c>
    </row>
    <row r="89" spans="1:7">
      <c r="A89" s="7" t="s">
        <v>60</v>
      </c>
      <c r="B89" s="13">
        <v>-3.02</v>
      </c>
      <c r="C89" s="13">
        <v>-7.0510000000000002</v>
      </c>
      <c r="D89" s="7">
        <v>22.4</v>
      </c>
      <c r="E89" s="6" t="s">
        <v>51</v>
      </c>
      <c r="F89" s="75">
        <v>65.27380952380949</v>
      </c>
      <c r="G89" s="70">
        <v>59.542857142857123</v>
      </c>
    </row>
    <row r="90" spans="1:7">
      <c r="A90" s="7" t="s">
        <v>61</v>
      </c>
      <c r="B90" s="13">
        <v>-2.6589999999999998</v>
      </c>
      <c r="C90" s="13">
        <v>-6.76</v>
      </c>
      <c r="D90" s="7">
        <v>22.6</v>
      </c>
      <c r="E90" s="6" t="s">
        <v>51</v>
      </c>
      <c r="F90" s="71">
        <v>67.45</v>
      </c>
      <c r="G90" s="70">
        <v>61</v>
      </c>
    </row>
    <row r="91" spans="1:7">
      <c r="A91" s="7" t="s">
        <v>62</v>
      </c>
      <c r="B91" s="13">
        <v>-3.0760000000000001</v>
      </c>
      <c r="C91" s="13">
        <v>-7.1559999999999997</v>
      </c>
      <c r="D91" s="7">
        <v>22.8</v>
      </c>
      <c r="E91" s="6" t="s">
        <v>55</v>
      </c>
      <c r="F91" s="75">
        <v>69.5625</v>
      </c>
      <c r="G91" s="70">
        <v>62.083333333333329</v>
      </c>
    </row>
    <row r="92" spans="1:7">
      <c r="A92" s="7" t="s">
        <v>63</v>
      </c>
      <c r="B92" s="13">
        <v>-2.984</v>
      </c>
      <c r="C92" s="13">
        <v>-6.9249999999999998</v>
      </c>
      <c r="D92" s="7">
        <v>23.1</v>
      </c>
      <c r="E92" s="6" t="s">
        <v>55</v>
      </c>
      <c r="F92" s="75">
        <v>72.731250000000003</v>
      </c>
      <c r="G92" s="70">
        <v>63.708333333333336</v>
      </c>
    </row>
    <row r="93" spans="1:7">
      <c r="A93" s="7" t="s">
        <v>64</v>
      </c>
      <c r="B93" s="13">
        <v>-3.669</v>
      </c>
      <c r="C93" s="13">
        <v>-6.9489999999999998</v>
      </c>
      <c r="D93" s="7">
        <v>23.4</v>
      </c>
      <c r="E93" s="6" t="s">
        <v>55</v>
      </c>
      <c r="F93" s="75">
        <v>75.899999999999977</v>
      </c>
      <c r="G93" s="70">
        <v>65.333333333333314</v>
      </c>
    </row>
    <row r="94" spans="1:7">
      <c r="A94" s="7" t="s">
        <v>65</v>
      </c>
      <c r="B94" s="13">
        <v>-3.6139999999999999</v>
      </c>
      <c r="C94" s="13">
        <v>-7.2649999999999997</v>
      </c>
      <c r="D94" s="7">
        <v>23.6</v>
      </c>
      <c r="E94" s="6" t="s">
        <v>55</v>
      </c>
      <c r="F94" s="75">
        <v>78.012500000000003</v>
      </c>
      <c r="G94" s="70">
        <v>66.416666666666671</v>
      </c>
    </row>
    <row r="95" spans="1:7">
      <c r="A95" s="7" t="s">
        <v>66</v>
      </c>
      <c r="B95" s="13">
        <v>-3.472</v>
      </c>
      <c r="C95" s="13">
        <v>-6.6879999999999997</v>
      </c>
      <c r="D95" s="7">
        <v>23.8</v>
      </c>
      <c r="E95" s="6" t="s">
        <v>55</v>
      </c>
      <c r="F95" s="75">
        <v>80.125</v>
      </c>
      <c r="G95" s="70">
        <v>67.5</v>
      </c>
    </row>
    <row r="96" spans="1:7">
      <c r="A96" s="7" t="s">
        <v>67</v>
      </c>
      <c r="B96" s="13">
        <v>-4.8049999999999997</v>
      </c>
      <c r="C96" s="13">
        <v>-7.0289999999999999</v>
      </c>
      <c r="D96" s="7">
        <v>24</v>
      </c>
      <c r="E96" s="6" t="s">
        <v>55</v>
      </c>
      <c r="F96" s="75">
        <v>82.237499999999997</v>
      </c>
      <c r="G96" s="70">
        <v>68.583333333333329</v>
      </c>
    </row>
    <row r="97" spans="1:7">
      <c r="A97" s="7" t="s">
        <v>68</v>
      </c>
      <c r="B97" s="13">
        <v>-4.5090000000000003</v>
      </c>
      <c r="C97" s="13">
        <v>-6.7149999999999999</v>
      </c>
      <c r="D97" s="7">
        <v>24.3</v>
      </c>
      <c r="E97" s="6" t="s">
        <v>55</v>
      </c>
      <c r="F97" s="75">
        <v>85.40625</v>
      </c>
      <c r="G97" s="70">
        <v>70.208333333333329</v>
      </c>
    </row>
    <row r="98" spans="1:7">
      <c r="A98" s="6" t="s">
        <v>69</v>
      </c>
      <c r="B98" s="6">
        <v>1.7010000000000001</v>
      </c>
      <c r="C98" s="6">
        <v>-7.2839999999999998</v>
      </c>
      <c r="D98" s="6">
        <v>24.5</v>
      </c>
      <c r="E98" s="6" t="s">
        <v>55</v>
      </c>
      <c r="F98" s="75">
        <v>87.518749999999997</v>
      </c>
      <c r="G98" s="70">
        <v>71.291666666666657</v>
      </c>
    </row>
    <row r="99" spans="1:7">
      <c r="A99" s="3" t="s">
        <v>70</v>
      </c>
      <c r="B99" s="4">
        <v>-8.1379999999999999</v>
      </c>
      <c r="C99" s="4">
        <v>-7.1790000000000003</v>
      </c>
      <c r="D99" s="3">
        <v>24.8</v>
      </c>
      <c r="E99" s="6" t="s">
        <v>55</v>
      </c>
      <c r="F99" s="75">
        <v>90.6875</v>
      </c>
      <c r="G99" s="70">
        <v>72.916666666666671</v>
      </c>
    </row>
    <row r="100" spans="1:7">
      <c r="A100" s="5" t="s">
        <v>71</v>
      </c>
      <c r="B100" s="4">
        <v>-8.8179999999999996</v>
      </c>
      <c r="C100" s="4">
        <v>-7.2830000000000004</v>
      </c>
      <c r="D100" s="3">
        <v>25</v>
      </c>
      <c r="E100" s="6" t="s">
        <v>55</v>
      </c>
      <c r="F100" s="72">
        <v>92.8</v>
      </c>
      <c r="G100" s="70">
        <v>74</v>
      </c>
    </row>
  </sheetData>
  <sortState xmlns:xlrd2="http://schemas.microsoft.com/office/spreadsheetml/2017/richdata2" ref="A2:G100">
    <sortCondition ref="D2:D100"/>
  </sortState>
  <phoneticPr fontId="1" type="noConversion"/>
  <conditionalFormatting sqref="D1:D1048576">
    <cfRule type="duplicateValues" dxfId="2" priority="6"/>
  </conditionalFormatting>
  <conditionalFormatting sqref="D2:D100">
    <cfRule type="duplicateValues" dxfId="1" priority="7"/>
    <cfRule type="duplicateValues" dxfId="0" priority="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66E3-41A9-456D-B88C-144F4E7DD2B7}">
  <dimension ref="A1:AD61"/>
  <sheetViews>
    <sheetView zoomScaleNormal="100" workbookViewId="0">
      <selection activeCell="A7" sqref="A7:XFD7"/>
    </sheetView>
  </sheetViews>
  <sheetFormatPr defaultRowHeight="14"/>
  <cols>
    <col min="1" max="1" width="17.26953125" style="2" bestFit="1" customWidth="1"/>
    <col min="5" max="5" width="45.08984375" style="59" customWidth="1"/>
    <col min="6" max="6" width="43.26953125" style="2" customWidth="1"/>
    <col min="7" max="8" width="8.7265625" style="2"/>
    <col min="14" max="14" width="12.453125" customWidth="1"/>
    <col min="17" max="18" width="12.6328125" style="1" customWidth="1"/>
    <col min="19" max="20" width="8.7265625" style="1"/>
    <col min="25" max="25" width="10" bestFit="1" customWidth="1"/>
    <col min="26" max="26" width="10" customWidth="1"/>
    <col min="29" max="29" width="11.81640625" customWidth="1"/>
  </cols>
  <sheetData>
    <row r="1" spans="1:30" ht="15.5">
      <c r="A1" s="20" t="s">
        <v>0</v>
      </c>
      <c r="B1" s="20" t="s">
        <v>1</v>
      </c>
      <c r="C1" s="20" t="s">
        <v>72</v>
      </c>
      <c r="D1" s="20" t="s">
        <v>73</v>
      </c>
      <c r="E1" s="73" t="s">
        <v>158</v>
      </c>
      <c r="F1" s="21" t="s">
        <v>159</v>
      </c>
      <c r="G1" s="62" t="s">
        <v>161</v>
      </c>
      <c r="H1" s="62" t="s">
        <v>163</v>
      </c>
      <c r="I1" s="22" t="s">
        <v>89</v>
      </c>
      <c r="J1" s="23" t="s">
        <v>82</v>
      </c>
      <c r="K1" s="23" t="s">
        <v>83</v>
      </c>
      <c r="L1" s="23" t="s">
        <v>84</v>
      </c>
      <c r="M1" s="23" t="s">
        <v>85</v>
      </c>
      <c r="N1" s="23" t="s">
        <v>86</v>
      </c>
      <c r="O1" s="22" t="s">
        <v>87</v>
      </c>
      <c r="P1" s="22" t="s">
        <v>88</v>
      </c>
      <c r="Q1" s="24" t="s">
        <v>74</v>
      </c>
      <c r="R1" s="24" t="s">
        <v>160</v>
      </c>
      <c r="S1" s="24" t="s">
        <v>165</v>
      </c>
      <c r="T1" s="23" t="s">
        <v>76</v>
      </c>
      <c r="U1" s="25" t="s">
        <v>135</v>
      </c>
      <c r="V1" s="23" t="s">
        <v>75</v>
      </c>
      <c r="W1" s="25" t="s">
        <v>136</v>
      </c>
      <c r="X1" s="26" t="s">
        <v>77</v>
      </c>
      <c r="Y1" s="27" t="s">
        <v>91</v>
      </c>
      <c r="Z1" s="27" t="s">
        <v>137</v>
      </c>
      <c r="AA1" s="27" t="s">
        <v>92</v>
      </c>
      <c r="AB1" s="27" t="s">
        <v>93</v>
      </c>
      <c r="AC1" s="27" t="s">
        <v>138</v>
      </c>
      <c r="AD1" s="27" t="s">
        <v>139</v>
      </c>
    </row>
    <row r="2" spans="1:30">
      <c r="A2" s="20"/>
      <c r="B2" s="20"/>
      <c r="C2" s="20"/>
      <c r="D2" s="20" t="s">
        <v>78</v>
      </c>
      <c r="E2" s="73"/>
      <c r="F2" s="23"/>
      <c r="G2" s="61" t="s">
        <v>162</v>
      </c>
      <c r="H2" s="61" t="s">
        <v>164</v>
      </c>
      <c r="I2" s="28" t="s">
        <v>81</v>
      </c>
      <c r="J2" s="20" t="s">
        <v>79</v>
      </c>
      <c r="K2" s="20" t="s">
        <v>5</v>
      </c>
      <c r="L2" s="20" t="s">
        <v>79</v>
      </c>
      <c r="M2" s="20" t="s">
        <v>5</v>
      </c>
      <c r="N2" s="20" t="s">
        <v>5</v>
      </c>
      <c r="O2" s="28" t="s">
        <v>81</v>
      </c>
      <c r="P2" s="28" t="s">
        <v>81</v>
      </c>
      <c r="Q2" s="29" t="s">
        <v>4</v>
      </c>
      <c r="R2" s="29"/>
      <c r="S2" s="30"/>
      <c r="T2" s="23" t="s">
        <v>81</v>
      </c>
      <c r="U2" s="26" t="s">
        <v>81</v>
      </c>
      <c r="V2" s="26" t="s">
        <v>81</v>
      </c>
      <c r="W2" s="23" t="s">
        <v>81</v>
      </c>
      <c r="X2" s="26"/>
      <c r="Y2" s="28"/>
      <c r="Z2" s="28"/>
      <c r="AA2" s="28"/>
      <c r="AB2" s="28"/>
      <c r="AC2" s="31"/>
      <c r="AD2" s="31"/>
    </row>
    <row r="3" spans="1:30">
      <c r="A3" s="32" t="s">
        <v>6</v>
      </c>
      <c r="B3" s="20" t="s">
        <v>144</v>
      </c>
      <c r="C3" s="20" t="s">
        <v>80</v>
      </c>
      <c r="D3" s="29">
        <v>0.1</v>
      </c>
      <c r="E3" s="56">
        <v>-29.7</v>
      </c>
      <c r="F3" s="33">
        <v>-95.043076923076924</v>
      </c>
      <c r="G3" s="63">
        <v>-0.22499774537898531</v>
      </c>
      <c r="H3" s="64">
        <v>0.05</v>
      </c>
      <c r="I3" s="34">
        <v>0.69702459631084723</v>
      </c>
      <c r="J3" s="26">
        <v>0.34012452711223201</v>
      </c>
      <c r="K3" s="35">
        <v>663.22509457755359</v>
      </c>
      <c r="L3" s="35">
        <v>26.746532156368218</v>
      </c>
      <c r="M3" s="36">
        <v>419.68789407313994</v>
      </c>
      <c r="N3" s="35">
        <v>755.43820933165193</v>
      </c>
      <c r="O3" s="34">
        <v>2.6463045290388512</v>
      </c>
      <c r="P3" s="34">
        <v>2.1423332927312488</v>
      </c>
      <c r="Q3" s="37">
        <v>0.61180000000000001</v>
      </c>
      <c r="R3" s="37">
        <v>0.81125372699851905</v>
      </c>
      <c r="S3" s="38">
        <v>0.04</v>
      </c>
      <c r="T3" s="26">
        <v>1.1554051846455564</v>
      </c>
      <c r="U3" s="26">
        <v>202.90452261164046</v>
      </c>
      <c r="V3" s="26">
        <v>1.2001974039414622</v>
      </c>
      <c r="W3" s="26">
        <v>0.63009222104950624</v>
      </c>
      <c r="X3" s="26">
        <v>81.791834350654554</v>
      </c>
      <c r="Y3" s="39">
        <f>I3-W3</f>
        <v>6.6932375261340993E-2</v>
      </c>
      <c r="Z3" s="39">
        <f>Y3/I3*100</f>
        <v>9.6025844160442837</v>
      </c>
      <c r="AA3" s="40">
        <f>P3-T3</f>
        <v>0.98692810808569242</v>
      </c>
      <c r="AB3" s="41">
        <f>AA3/P3*100</f>
        <v>46.067906960800819</v>
      </c>
      <c r="AC3" s="41">
        <f>O3-V3</f>
        <v>1.4461071250973889</v>
      </c>
      <c r="AD3" s="42">
        <f>AC3/V3*100</f>
        <v>120.48910623772025</v>
      </c>
    </row>
    <row r="4" spans="1:30">
      <c r="A4" s="23" t="s">
        <v>8</v>
      </c>
      <c r="B4" s="20" t="s">
        <v>7</v>
      </c>
      <c r="C4" s="20"/>
      <c r="D4" s="29">
        <v>0.9</v>
      </c>
      <c r="E4" s="56">
        <v>-28.2</v>
      </c>
      <c r="F4" s="33">
        <v>-90.230769230769226</v>
      </c>
      <c r="G4" s="63">
        <v>-0.30611408490910375</v>
      </c>
      <c r="H4" s="64">
        <v>0.05</v>
      </c>
      <c r="I4" s="34">
        <v>0.72781318195062472</v>
      </c>
      <c r="J4" s="26">
        <v>0.25738843753679497</v>
      </c>
      <c r="K4" s="35">
        <v>310.84422465559868</v>
      </c>
      <c r="L4" s="35">
        <v>34.09866949252325</v>
      </c>
      <c r="M4" s="36">
        <v>269.63381608383372</v>
      </c>
      <c r="N4" s="35">
        <v>1009.0662898857881</v>
      </c>
      <c r="O4" s="34">
        <v>1.1726854817284853</v>
      </c>
      <c r="P4" s="34">
        <v>1.155909069818718</v>
      </c>
      <c r="Q4" s="43"/>
      <c r="R4" s="43"/>
      <c r="S4" s="38"/>
      <c r="T4" s="43"/>
      <c r="U4" s="44"/>
      <c r="V4" s="45"/>
      <c r="W4" s="44"/>
      <c r="X4" s="31"/>
      <c r="Y4" s="28"/>
      <c r="Z4" s="28"/>
      <c r="AA4" s="28"/>
      <c r="AB4" s="28"/>
      <c r="AC4" s="31"/>
      <c r="AD4" s="31"/>
    </row>
    <row r="5" spans="1:30">
      <c r="A5" s="32" t="s">
        <v>9</v>
      </c>
      <c r="B5" s="20" t="s">
        <v>7</v>
      </c>
      <c r="C5" s="20" t="s">
        <v>80</v>
      </c>
      <c r="D5" s="29">
        <v>1.8</v>
      </c>
      <c r="E5" s="56">
        <v>-26.5</v>
      </c>
      <c r="F5" s="33">
        <v>-84.816923076923075</v>
      </c>
      <c r="G5" s="63">
        <v>-0.38036877873204311</v>
      </c>
      <c r="H5" s="64">
        <v>0.05</v>
      </c>
      <c r="I5" s="34">
        <v>1.1440107516872846</v>
      </c>
      <c r="J5" s="26">
        <v>0.37808320236071463</v>
      </c>
      <c r="K5" s="35">
        <v>364.05042178529044</v>
      </c>
      <c r="L5" s="35">
        <v>35.866183404432761</v>
      </c>
      <c r="M5" s="36">
        <v>238.95820637008052</v>
      </c>
      <c r="N5" s="35">
        <v>1137.8580363729673</v>
      </c>
      <c r="O5" s="34">
        <v>1.6821629014945836</v>
      </c>
      <c r="P5" s="34">
        <v>1.4585267209911201</v>
      </c>
      <c r="Q5" s="37">
        <v>0.51870000000000005</v>
      </c>
      <c r="R5" s="37">
        <v>0.65225392007778804</v>
      </c>
      <c r="S5" s="38">
        <v>0.04</v>
      </c>
      <c r="T5" s="26">
        <v>0.97772764246465371</v>
      </c>
      <c r="U5" s="26">
        <v>142.99794626432245</v>
      </c>
      <c r="V5" s="26">
        <v>0.93113009685867554</v>
      </c>
      <c r="W5" s="26">
        <v>0.97653508413030621</v>
      </c>
      <c r="X5" s="26">
        <v>87.393799074786642</v>
      </c>
      <c r="Y5" s="39">
        <f>I5-W5</f>
        <v>0.1674756675569784</v>
      </c>
      <c r="Z5" s="39">
        <f>Y5/I5*100</f>
        <v>14.639343844449975</v>
      </c>
      <c r="AA5" s="40">
        <f>P5-T5</f>
        <v>0.48079907852646642</v>
      </c>
      <c r="AB5" s="41">
        <f>AA5/P5*100</f>
        <v>32.964708263949156</v>
      </c>
      <c r="AC5" s="41">
        <f>O5-V5</f>
        <v>0.75103280463590805</v>
      </c>
      <c r="AD5" s="42">
        <f>AC5/V5*100</f>
        <v>80.658203098540568</v>
      </c>
    </row>
    <row r="6" spans="1:30">
      <c r="A6" s="23" t="s">
        <v>10</v>
      </c>
      <c r="B6" s="20" t="s">
        <v>7</v>
      </c>
      <c r="C6" s="20"/>
      <c r="D6" s="29">
        <v>2.9</v>
      </c>
      <c r="E6" s="57">
        <v>-24.4</v>
      </c>
      <c r="F6" s="60">
        <v>-78.2</v>
      </c>
      <c r="G6" s="63">
        <v>-0.22089981109119083</v>
      </c>
      <c r="H6" s="64">
        <v>0.05</v>
      </c>
      <c r="I6" s="34">
        <v>1.2448558768314837</v>
      </c>
      <c r="J6" s="26">
        <v>0.30559894762805229</v>
      </c>
      <c r="K6" s="35">
        <v>978.37704513689062</v>
      </c>
      <c r="L6" s="35">
        <v>33.77415111403436</v>
      </c>
      <c r="M6" s="36">
        <v>212.94088629449968</v>
      </c>
      <c r="N6" s="35">
        <v>825.86532927731628</v>
      </c>
      <c r="O6" s="34">
        <v>3.1302637195842986</v>
      </c>
      <c r="P6" s="34">
        <v>2.1778279917871695</v>
      </c>
      <c r="Q6" s="43"/>
      <c r="R6" s="43"/>
      <c r="S6" s="38"/>
      <c r="T6" s="43"/>
      <c r="U6" s="44"/>
      <c r="V6" s="45"/>
      <c r="W6" s="44"/>
      <c r="X6" s="31"/>
      <c r="Y6" s="31"/>
      <c r="Z6" s="31"/>
      <c r="AA6" s="31"/>
      <c r="AB6" s="31"/>
      <c r="AC6" s="31"/>
      <c r="AD6" s="31"/>
    </row>
    <row r="7" spans="1:30">
      <c r="A7" s="32" t="s">
        <v>11</v>
      </c>
      <c r="B7" s="20" t="s">
        <v>143</v>
      </c>
      <c r="C7" s="20" t="s">
        <v>80</v>
      </c>
      <c r="D7" s="29">
        <v>4</v>
      </c>
      <c r="E7" s="56">
        <v>-22.3</v>
      </c>
      <c r="F7" s="33">
        <v>-71.583076923076931</v>
      </c>
      <c r="G7" s="64">
        <v>6.9332889811368759E-2</v>
      </c>
      <c r="H7" s="64">
        <v>0.05</v>
      </c>
      <c r="I7" s="22">
        <v>1.5733439040850157</v>
      </c>
      <c r="J7" s="46"/>
      <c r="K7" s="47"/>
      <c r="L7" s="47"/>
      <c r="M7" s="47"/>
      <c r="N7" s="47"/>
      <c r="O7" s="46"/>
      <c r="P7" s="46"/>
      <c r="Q7" s="37">
        <v>0.55327999999999999</v>
      </c>
      <c r="R7" s="37">
        <v>0.62291810201939701</v>
      </c>
      <c r="S7" s="38">
        <v>0.04</v>
      </c>
      <c r="T7" s="26">
        <v>1.5132919134106919</v>
      </c>
      <c r="U7" s="26">
        <v>120.83998145134299</v>
      </c>
      <c r="V7" s="26">
        <v>1.6507983139735265</v>
      </c>
      <c r="W7" s="26">
        <v>1.366259491884207</v>
      </c>
      <c r="X7" s="26">
        <v>86.32577156387454</v>
      </c>
      <c r="Y7" s="41"/>
      <c r="Z7" s="39"/>
      <c r="AA7" s="41"/>
      <c r="AB7" s="41"/>
      <c r="AC7" s="41"/>
      <c r="AD7" s="42"/>
    </row>
    <row r="8" spans="1:30">
      <c r="A8" s="23" t="s">
        <v>12</v>
      </c>
      <c r="B8" s="20" t="s">
        <v>143</v>
      </c>
      <c r="C8" s="20"/>
      <c r="D8" s="29">
        <v>5.0999999999999996</v>
      </c>
      <c r="E8" s="56">
        <v>-20.3</v>
      </c>
      <c r="F8" s="33">
        <v>-64.966153846153844</v>
      </c>
      <c r="G8" s="64">
        <v>0.14367916423685401</v>
      </c>
      <c r="H8" s="64">
        <v>0.05</v>
      </c>
      <c r="I8" s="34">
        <v>1.4920666685121369</v>
      </c>
      <c r="J8" s="26">
        <v>0.34953543540575271</v>
      </c>
      <c r="K8" s="35">
        <v>259.4642680636552</v>
      </c>
      <c r="L8" s="35">
        <v>37.647029751902728</v>
      </c>
      <c r="M8" s="35">
        <v>137.14539883364631</v>
      </c>
      <c r="N8" s="35">
        <v>1202.1844420282691</v>
      </c>
      <c r="O8" s="34">
        <v>2.4896262456994607</v>
      </c>
      <c r="P8" s="34">
        <v>2.6881901897584481</v>
      </c>
      <c r="Q8" s="43"/>
      <c r="R8" s="43"/>
      <c r="S8" s="38"/>
      <c r="T8" s="43"/>
      <c r="U8" s="44"/>
      <c r="V8" s="45"/>
      <c r="W8" s="44"/>
      <c r="X8" s="31"/>
      <c r="Y8" s="31"/>
      <c r="Z8" s="31"/>
      <c r="AA8" s="31"/>
      <c r="AB8" s="31"/>
      <c r="AC8" s="31"/>
      <c r="AD8" s="31"/>
    </row>
    <row r="9" spans="1:30">
      <c r="A9" s="32" t="s">
        <v>13</v>
      </c>
      <c r="B9" s="20" t="s">
        <v>143</v>
      </c>
      <c r="C9" s="20" t="s">
        <v>80</v>
      </c>
      <c r="D9" s="29">
        <v>6</v>
      </c>
      <c r="E9" s="56">
        <v>-18.600000000000001</v>
      </c>
      <c r="F9" s="33">
        <v>-59.552307692307693</v>
      </c>
      <c r="G9" s="65"/>
      <c r="H9" s="64"/>
      <c r="I9" s="34">
        <v>1.836939672661172</v>
      </c>
      <c r="J9" s="26">
        <v>0.34601306396489306</v>
      </c>
      <c r="K9" s="35">
        <v>144.59341948269932</v>
      </c>
      <c r="L9" s="35">
        <v>39.036178689154482</v>
      </c>
      <c r="M9" s="35">
        <v>85.947137454751356</v>
      </c>
      <c r="N9" s="35">
        <v>1226.516208618981</v>
      </c>
      <c r="O9" s="34">
        <v>3.2969740948979829</v>
      </c>
      <c r="P9" s="34">
        <v>1.3329835243668939</v>
      </c>
      <c r="Q9" s="37">
        <v>0.50407000000000002</v>
      </c>
      <c r="R9" s="37">
        <v>0.54081560560700603</v>
      </c>
      <c r="S9" s="38">
        <v>0.04</v>
      </c>
      <c r="T9" s="26">
        <v>1.3209424551411271</v>
      </c>
      <c r="U9" s="26">
        <v>64.107974779112851</v>
      </c>
      <c r="V9" s="26">
        <v>2.8981426799093009</v>
      </c>
      <c r="W9" s="26">
        <v>1.4846351879553905</v>
      </c>
      <c r="X9" s="26">
        <v>87.518441669504455</v>
      </c>
      <c r="Y9" s="41">
        <f>I9-W9</f>
        <v>0.35230448470578146</v>
      </c>
      <c r="Z9" s="39">
        <f>Y9/I9*100</f>
        <v>19.178881590346318</v>
      </c>
      <c r="AA9" s="41">
        <f>P9-T9</f>
        <v>1.2041069225766865E-2</v>
      </c>
      <c r="AB9" s="41">
        <f>AA9/P9*100</f>
        <v>0.90331718327019994</v>
      </c>
      <c r="AC9" s="41">
        <f>O9-V9</f>
        <v>0.39883141498868202</v>
      </c>
      <c r="AD9" s="42">
        <f>AC9/V9*100</f>
        <v>13.761621115257297</v>
      </c>
    </row>
    <row r="10" spans="1:30">
      <c r="A10" s="23" t="s">
        <v>14</v>
      </c>
      <c r="B10" s="20" t="s">
        <v>143</v>
      </c>
      <c r="C10" s="20"/>
      <c r="D10" s="29">
        <v>7</v>
      </c>
      <c r="E10" s="56">
        <v>-16.7</v>
      </c>
      <c r="F10" s="33">
        <v>-53.536923076923081</v>
      </c>
      <c r="G10" s="64">
        <v>5.8157989753171435E-2</v>
      </c>
      <c r="H10" s="64">
        <v>0.05</v>
      </c>
      <c r="I10" s="34">
        <v>1.4642860363475798</v>
      </c>
      <c r="J10" s="26">
        <v>0.30689655172413793</v>
      </c>
      <c r="K10" s="35">
        <v>202.29885057471265</v>
      </c>
      <c r="L10" s="35">
        <v>38.264367816091955</v>
      </c>
      <c r="M10" s="35">
        <v>112.64367816091955</v>
      </c>
      <c r="N10" s="35">
        <v>1278.16091954023</v>
      </c>
      <c r="O10" s="34">
        <v>3.2269711626468638</v>
      </c>
      <c r="P10" s="34">
        <v>3.5847912725565023</v>
      </c>
      <c r="Q10" s="43"/>
      <c r="R10" s="43"/>
      <c r="S10" s="38"/>
      <c r="T10" s="43"/>
      <c r="U10" s="44"/>
      <c r="V10" s="45"/>
      <c r="W10" s="44"/>
      <c r="X10" s="31"/>
      <c r="Y10" s="31"/>
      <c r="Z10" s="31"/>
      <c r="AA10" s="31"/>
      <c r="AB10" s="31"/>
      <c r="AC10" s="31"/>
      <c r="AD10" s="31"/>
    </row>
    <row r="11" spans="1:30">
      <c r="A11" s="32" t="s">
        <v>15</v>
      </c>
      <c r="B11" s="20" t="s">
        <v>143</v>
      </c>
      <c r="C11" s="20" t="s">
        <v>80</v>
      </c>
      <c r="D11" s="29">
        <v>8</v>
      </c>
      <c r="E11" s="56">
        <v>-14.8</v>
      </c>
      <c r="F11" s="33">
        <v>-47.521538461538469</v>
      </c>
      <c r="G11" s="66">
        <v>0.52535608200621198</v>
      </c>
      <c r="H11" s="64">
        <v>0.05</v>
      </c>
      <c r="I11" s="34">
        <v>2.2867141638626691</v>
      </c>
      <c r="J11" s="26">
        <v>0.3733802091002798</v>
      </c>
      <c r="K11" s="35">
        <v>267.81769989692236</v>
      </c>
      <c r="L11" s="35">
        <v>38.777426005006625</v>
      </c>
      <c r="M11" s="35">
        <v>96.635252540126629</v>
      </c>
      <c r="N11" s="35">
        <v>1483.5812104255633</v>
      </c>
      <c r="O11" s="34">
        <v>3.0752748659892415</v>
      </c>
      <c r="P11" s="34">
        <v>1.3221603354359774</v>
      </c>
      <c r="Q11" s="37">
        <v>0.45220000000000005</v>
      </c>
      <c r="R11" s="37">
        <v>0.484411901489328</v>
      </c>
      <c r="S11" s="38">
        <v>0.04</v>
      </c>
      <c r="T11" s="26">
        <v>1.6208618873027227</v>
      </c>
      <c r="U11" s="26">
        <v>76.987378599963762</v>
      </c>
      <c r="V11" s="26">
        <v>3.9668302470161927</v>
      </c>
      <c r="W11" s="26">
        <v>1.2853977486531931</v>
      </c>
      <c r="X11" s="26">
        <v>90.270821360459067</v>
      </c>
      <c r="Y11" s="41">
        <f>I11-W11</f>
        <v>1.001316415209476</v>
      </c>
      <c r="Z11" s="39">
        <f>Y11/I11*100</f>
        <v>43.78843805812938</v>
      </c>
      <c r="AA11" s="41">
        <f>P11-T11</f>
        <v>-0.2987015518667453</v>
      </c>
      <c r="AB11" s="41">
        <f>AA11/P11*100</f>
        <v>-22.591931088921193</v>
      </c>
      <c r="AC11" s="41">
        <f>O11-V11</f>
        <v>-0.8915553810269512</v>
      </c>
      <c r="AD11" s="42">
        <f>AC11/V11*100</f>
        <v>-22.475259224857673</v>
      </c>
    </row>
    <row r="12" spans="1:30">
      <c r="A12" s="23" t="s">
        <v>16</v>
      </c>
      <c r="B12" s="20" t="s">
        <v>143</v>
      </c>
      <c r="C12" s="20"/>
      <c r="D12" s="29">
        <v>9</v>
      </c>
      <c r="E12" s="56">
        <v>-13</v>
      </c>
      <c r="F12" s="33">
        <v>-41.50615384615385</v>
      </c>
      <c r="G12" s="64">
        <v>0.17392143769390245</v>
      </c>
      <c r="H12" s="64">
        <v>0.05</v>
      </c>
      <c r="I12" s="34">
        <v>1.3687621603042446</v>
      </c>
      <c r="J12" s="26">
        <v>0.29377100702780562</v>
      </c>
      <c r="K12" s="35">
        <v>273.90981710244876</v>
      </c>
      <c r="L12" s="35">
        <v>37.112052031952501</v>
      </c>
      <c r="M12" s="35">
        <v>127.67907809157971</v>
      </c>
      <c r="N12" s="35">
        <v>1120.7385743594218</v>
      </c>
      <c r="O12" s="34">
        <v>3.4236845828608051</v>
      </c>
      <c r="P12" s="34">
        <v>1.6842658369063426</v>
      </c>
      <c r="Q12" s="43"/>
      <c r="R12" s="43"/>
      <c r="S12" s="38"/>
      <c r="T12" s="43"/>
      <c r="U12" s="44"/>
      <c r="V12" s="45"/>
      <c r="W12" s="44"/>
      <c r="X12" s="31"/>
      <c r="Y12" s="31"/>
      <c r="Z12" s="31"/>
      <c r="AA12" s="31"/>
      <c r="AB12" s="31"/>
      <c r="AC12" s="31"/>
      <c r="AD12" s="31"/>
    </row>
    <row r="13" spans="1:30">
      <c r="A13" s="32" t="s">
        <v>17</v>
      </c>
      <c r="B13" s="20" t="s">
        <v>143</v>
      </c>
      <c r="C13" s="20" t="s">
        <v>80</v>
      </c>
      <c r="D13" s="29">
        <v>9.9</v>
      </c>
      <c r="E13" s="56">
        <v>-11.3</v>
      </c>
      <c r="F13" s="33">
        <v>-36.092307692307699</v>
      </c>
      <c r="G13" s="64">
        <v>0.15343274276480301</v>
      </c>
      <c r="H13" s="64">
        <v>0.05</v>
      </c>
      <c r="I13" s="34">
        <v>1.5308342794844922</v>
      </c>
      <c r="J13" s="26">
        <v>0.31322123310253874</v>
      </c>
      <c r="K13" s="35">
        <v>235.50468654326221</v>
      </c>
      <c r="L13" s="35">
        <v>37.65719937826762</v>
      </c>
      <c r="M13" s="35">
        <v>135.41519476237576</v>
      </c>
      <c r="N13" s="35">
        <v>1345.9092835947433</v>
      </c>
      <c r="O13" s="34">
        <v>4.4560411527698314</v>
      </c>
      <c r="P13" s="34">
        <v>2.1742878800542762</v>
      </c>
      <c r="Q13" s="37">
        <v>0.45619000000000004</v>
      </c>
      <c r="R13" s="37">
        <v>0.48827551050534501</v>
      </c>
      <c r="S13" s="38">
        <v>0.04</v>
      </c>
      <c r="T13" s="26">
        <v>1.6079226415657732</v>
      </c>
      <c r="U13" s="26">
        <v>75.471177495008902</v>
      </c>
      <c r="V13" s="26">
        <v>3.8972256281775293</v>
      </c>
      <c r="W13" s="26">
        <v>1.2527303210734009</v>
      </c>
      <c r="X13" s="26">
        <v>88.672819071470727</v>
      </c>
      <c r="Y13" s="41">
        <f>I13-W13</f>
        <v>0.27810395841109137</v>
      </c>
      <c r="Z13" s="39">
        <f>Y13/I13*100</f>
        <v>18.166823289634117</v>
      </c>
      <c r="AA13" s="41">
        <f>P13-T13</f>
        <v>0.56636523848850295</v>
      </c>
      <c r="AB13" s="41">
        <f>AA13/P13*100</f>
        <v>26.048309595248487</v>
      </c>
      <c r="AC13" s="41">
        <f>O13-V13</f>
        <v>0.5588155245923021</v>
      </c>
      <c r="AD13" s="42">
        <f>AC13/V13*100</f>
        <v>14.338803495286021</v>
      </c>
    </row>
    <row r="14" spans="1:30">
      <c r="A14" s="23" t="s">
        <v>18</v>
      </c>
      <c r="B14" s="20" t="s">
        <v>143</v>
      </c>
      <c r="C14" s="20"/>
      <c r="D14" s="29">
        <v>10.9</v>
      </c>
      <c r="E14" s="56">
        <v>-9.4</v>
      </c>
      <c r="F14" s="33">
        <v>-30.07692307692308</v>
      </c>
      <c r="G14" s="64">
        <v>0.10705580320569119</v>
      </c>
      <c r="H14" s="64">
        <v>0.05</v>
      </c>
      <c r="I14" s="34">
        <v>1.4463620829707682</v>
      </c>
      <c r="J14" s="26">
        <v>0.36217840011628472</v>
      </c>
      <c r="K14" s="35">
        <v>258.00668637046368</v>
      </c>
      <c r="L14" s="35">
        <v>37.678666602064055</v>
      </c>
      <c r="M14" s="35">
        <v>121.12989970444306</v>
      </c>
      <c r="N14" s="35">
        <v>1183.4391201124085</v>
      </c>
      <c r="O14" s="34">
        <v>4.5093834073629866</v>
      </c>
      <c r="P14" s="34">
        <v>2.2645901606548926</v>
      </c>
      <c r="Q14" s="43"/>
      <c r="R14" s="43"/>
      <c r="S14" s="38"/>
      <c r="T14" s="43"/>
      <c r="U14" s="44"/>
      <c r="V14" s="45"/>
      <c r="W14" s="44"/>
      <c r="X14" s="31"/>
      <c r="Y14" s="31"/>
      <c r="Z14" s="31"/>
      <c r="AA14" s="31"/>
      <c r="AB14" s="31"/>
      <c r="AC14" s="31"/>
      <c r="AD14" s="31"/>
    </row>
    <row r="15" spans="1:30">
      <c r="A15" s="32" t="s">
        <v>19</v>
      </c>
      <c r="B15" s="20" t="s">
        <v>20</v>
      </c>
      <c r="C15" s="20" t="s">
        <v>80</v>
      </c>
      <c r="D15" s="29">
        <v>12</v>
      </c>
      <c r="E15" s="56">
        <v>-7.3</v>
      </c>
      <c r="F15" s="33">
        <v>-23.460000000000008</v>
      </c>
      <c r="G15" s="64">
        <v>8.044091271686149E-2</v>
      </c>
      <c r="H15" s="64">
        <v>0.05</v>
      </c>
      <c r="I15" s="34">
        <v>1.2963263511708563</v>
      </c>
      <c r="J15" s="26">
        <v>0.31561061170795873</v>
      </c>
      <c r="K15" s="35">
        <v>346.4152598114448</v>
      </c>
      <c r="L15" s="35">
        <v>34.854198640648974</v>
      </c>
      <c r="M15" s="35">
        <v>99.758824819118587</v>
      </c>
      <c r="N15" s="35">
        <v>955.93071694803757</v>
      </c>
      <c r="O15" s="34">
        <v>3.0696773733208764</v>
      </c>
      <c r="P15" s="34">
        <v>1.7218420352787431</v>
      </c>
      <c r="Q15" s="37">
        <v>0.51870000000000005</v>
      </c>
      <c r="R15" s="37">
        <v>0.60168668499009603</v>
      </c>
      <c r="S15" s="38">
        <v>0.04</v>
      </c>
      <c r="T15" s="26">
        <v>1.1583242795081314</v>
      </c>
      <c r="U15" s="26">
        <v>114.11431813018838</v>
      </c>
      <c r="V15" s="26">
        <v>2.5843330898109991</v>
      </c>
      <c r="W15" s="26">
        <v>1.1138765891592493</v>
      </c>
      <c r="X15" s="26">
        <v>85.885739309335634</v>
      </c>
      <c r="Y15" s="41">
        <f>I15-W15</f>
        <v>0.18244976201160701</v>
      </c>
      <c r="Z15" s="39">
        <f>Y15/I15*100</f>
        <v>14.074369609690985</v>
      </c>
      <c r="AA15" s="41">
        <f>P15-T15</f>
        <v>0.56351775577061169</v>
      </c>
      <c r="AB15" s="41">
        <f>AA15/P15*100</f>
        <v>32.727610560360475</v>
      </c>
      <c r="AC15" s="41">
        <f>O15-V15</f>
        <v>0.48534428350987735</v>
      </c>
      <c r="AD15" s="42">
        <f>AC15/V15*100</f>
        <v>18.78025264712964</v>
      </c>
    </row>
    <row r="16" spans="1:30">
      <c r="A16" s="23" t="s">
        <v>21</v>
      </c>
      <c r="B16" s="20" t="s">
        <v>20</v>
      </c>
      <c r="C16" s="20"/>
      <c r="D16" s="29">
        <v>13.1</v>
      </c>
      <c r="E16" s="56">
        <v>-5.3</v>
      </c>
      <c r="F16" s="33">
        <v>-16.843076923076929</v>
      </c>
      <c r="G16" s="66">
        <v>0.19331491006879808</v>
      </c>
      <c r="H16" s="64">
        <v>0.05</v>
      </c>
      <c r="I16" s="34">
        <v>2.5822216290023521</v>
      </c>
      <c r="J16" s="26">
        <v>0.29436972573839659</v>
      </c>
      <c r="K16" s="35">
        <v>82.410337552742618</v>
      </c>
      <c r="L16" s="35">
        <v>40.040436005625878</v>
      </c>
      <c r="M16" s="35">
        <v>142.84458509142056</v>
      </c>
      <c r="N16" s="35">
        <v>1430.6434599156119</v>
      </c>
      <c r="O16" s="34">
        <v>3.5359686309881382</v>
      </c>
      <c r="P16" s="34">
        <v>2.9698392328578258</v>
      </c>
      <c r="Q16" s="43"/>
      <c r="R16" s="43"/>
      <c r="S16" s="38"/>
      <c r="T16" s="43"/>
      <c r="U16" s="44"/>
      <c r="V16" s="45"/>
      <c r="W16" s="44"/>
      <c r="X16" s="31"/>
      <c r="Y16" s="31"/>
      <c r="Z16" s="31"/>
      <c r="AA16" s="31"/>
      <c r="AB16" s="31"/>
      <c r="AC16" s="31"/>
      <c r="AD16" s="31"/>
    </row>
    <row r="17" spans="1:30">
      <c r="A17" s="32" t="s">
        <v>22</v>
      </c>
      <c r="B17" s="20" t="s">
        <v>20</v>
      </c>
      <c r="C17" s="20" t="s">
        <v>80</v>
      </c>
      <c r="D17" s="29">
        <v>13.9</v>
      </c>
      <c r="E17" s="56">
        <v>-3.8</v>
      </c>
      <c r="F17" s="33">
        <v>-12.030769230769238</v>
      </c>
      <c r="G17" s="64">
        <v>5.5006506674670774E-2</v>
      </c>
      <c r="H17" s="64">
        <v>0.05</v>
      </c>
      <c r="I17" s="34">
        <v>1.7979601118413335</v>
      </c>
      <c r="J17" s="26">
        <v>0.34470216568982004</v>
      </c>
      <c r="K17" s="35">
        <v>250.44685538512701</v>
      </c>
      <c r="L17" s="35">
        <v>36.866608471546741</v>
      </c>
      <c r="M17" s="35">
        <v>180.82055119092155</v>
      </c>
      <c r="N17" s="35">
        <v>1017.3754000914495</v>
      </c>
      <c r="O17" s="34">
        <v>3.9401341926424593</v>
      </c>
      <c r="P17" s="34">
        <v>2.5936212661015094</v>
      </c>
      <c r="Q17" s="48">
        <v>0.38968999999999998</v>
      </c>
      <c r="R17" s="48">
        <v>0.42298446382127702</v>
      </c>
      <c r="S17" s="38">
        <v>0.04</v>
      </c>
      <c r="T17" s="26">
        <v>1.595104077501603</v>
      </c>
      <c r="U17" s="26">
        <v>89.682684323277741</v>
      </c>
      <c r="V17" s="26">
        <v>3.5641876089626372</v>
      </c>
      <c r="W17" s="26">
        <v>1.5042877202534821</v>
      </c>
      <c r="X17" s="26">
        <v>87.350820302303887</v>
      </c>
      <c r="Y17" s="41">
        <f>I17-W17</f>
        <v>0.29367239158785141</v>
      </c>
      <c r="Z17" s="39">
        <f>Y17/I17*100</f>
        <v>16.333643313537948</v>
      </c>
      <c r="AA17" s="41">
        <f>P17-T17</f>
        <v>0.99851718859990646</v>
      </c>
      <c r="AB17" s="41">
        <f>AA17/P17*100</f>
        <v>38.498959028847906</v>
      </c>
      <c r="AC17" s="41">
        <f>O17-V17</f>
        <v>0.37594658367982214</v>
      </c>
      <c r="AD17" s="42">
        <f>AC17/V17*100</f>
        <v>10.547889867930998</v>
      </c>
    </row>
    <row r="18" spans="1:30">
      <c r="A18" s="23" t="s">
        <v>23</v>
      </c>
      <c r="B18" s="20" t="s">
        <v>20</v>
      </c>
      <c r="C18" s="20"/>
      <c r="D18" s="29">
        <v>14.6</v>
      </c>
      <c r="E18" s="56">
        <v>-2.4</v>
      </c>
      <c r="F18" s="33">
        <v>-7.8200000000000074</v>
      </c>
      <c r="G18" s="64">
        <v>1.3731927753557471E-2</v>
      </c>
      <c r="H18" s="64">
        <v>0.05</v>
      </c>
      <c r="I18" s="34">
        <v>1.8886211486235918</v>
      </c>
      <c r="J18" s="26">
        <v>0.3199034728779771</v>
      </c>
      <c r="K18" s="35">
        <v>348.33700556080163</v>
      </c>
      <c r="L18" s="35">
        <v>36.344559857307736</v>
      </c>
      <c r="M18" s="35">
        <v>201.4479068303431</v>
      </c>
      <c r="N18" s="35">
        <v>979.9601301017733</v>
      </c>
      <c r="O18" s="34">
        <v>5.3156561228779928</v>
      </c>
      <c r="P18" s="34">
        <v>3.1927294872698426</v>
      </c>
      <c r="Q18" s="43"/>
      <c r="R18" s="43"/>
      <c r="S18" s="38"/>
      <c r="T18" s="43"/>
      <c r="U18" s="44"/>
      <c r="V18" s="45"/>
      <c r="W18" s="44"/>
      <c r="X18" s="31"/>
      <c r="Y18" s="31"/>
      <c r="Z18" s="31"/>
      <c r="AA18" s="31"/>
      <c r="AB18" s="31"/>
      <c r="AC18" s="31"/>
      <c r="AD18" s="31"/>
    </row>
    <row r="19" spans="1:30">
      <c r="A19" s="32" t="s">
        <v>24</v>
      </c>
      <c r="B19" s="20" t="s">
        <v>20</v>
      </c>
      <c r="C19" s="20" t="s">
        <v>80</v>
      </c>
      <c r="D19" s="29">
        <v>15.1</v>
      </c>
      <c r="E19" s="56">
        <v>-1.5</v>
      </c>
      <c r="F19" s="33">
        <v>-4.8123076923076979</v>
      </c>
      <c r="G19" s="64">
        <v>5.2591772521370928E-3</v>
      </c>
      <c r="H19" s="64">
        <v>0.05</v>
      </c>
      <c r="I19" s="34">
        <v>1.8089681281997974</v>
      </c>
      <c r="J19" s="26">
        <v>0.32323232323232326</v>
      </c>
      <c r="K19" s="35">
        <v>458.35715647036403</v>
      </c>
      <c r="L19" s="35">
        <v>36.020583190394511</v>
      </c>
      <c r="M19" s="35">
        <v>182.0087669144273</v>
      </c>
      <c r="N19" s="35">
        <v>1130.1696207356586</v>
      </c>
      <c r="O19" s="34">
        <v>4.9938043413015549</v>
      </c>
      <c r="P19" s="34">
        <v>3.7626073113352789</v>
      </c>
      <c r="Q19" s="48">
        <v>0.51338000000000006</v>
      </c>
      <c r="R19" s="48">
        <v>0.58439330993761196</v>
      </c>
      <c r="S19" s="38">
        <v>0.04</v>
      </c>
      <c r="T19" s="26">
        <v>1.6780643252091287</v>
      </c>
      <c r="U19" s="26">
        <v>145.65154273784617</v>
      </c>
      <c r="V19" s="26">
        <v>3.6129789412951188</v>
      </c>
      <c r="W19" s="26">
        <v>1.4245628203515228</v>
      </c>
      <c r="X19" s="26">
        <v>83.569131210927267</v>
      </c>
      <c r="Y19" s="41">
        <f>I19-W19</f>
        <v>0.38440530784827454</v>
      </c>
      <c r="Z19" s="39">
        <f>Y19/I19*100</f>
        <v>21.24997681583352</v>
      </c>
      <c r="AA19" s="41">
        <f>P19-T19</f>
        <v>2.0845429861261504</v>
      </c>
      <c r="AB19" s="41">
        <f>AA19/P19*100</f>
        <v>55.401555720317383</v>
      </c>
      <c r="AC19" s="41">
        <f>O19-V19</f>
        <v>1.3808254000064362</v>
      </c>
      <c r="AD19" s="42">
        <f>AC19/V19*100</f>
        <v>38.218473521228482</v>
      </c>
    </row>
    <row r="20" spans="1:30">
      <c r="A20" s="23" t="s">
        <v>25</v>
      </c>
      <c r="B20" s="20" t="s">
        <v>20</v>
      </c>
      <c r="C20" s="20"/>
      <c r="D20" s="29">
        <v>15.4</v>
      </c>
      <c r="E20" s="56">
        <v>-0.9</v>
      </c>
      <c r="F20" s="33">
        <v>-3.0076923076923094</v>
      </c>
      <c r="G20" s="64">
        <v>-4.8527483773375124E-2</v>
      </c>
      <c r="H20" s="64">
        <v>0.05</v>
      </c>
      <c r="I20" s="34">
        <v>1.8901757480607047</v>
      </c>
      <c r="J20" s="26">
        <v>0.34936523437499994</v>
      </c>
      <c r="K20" s="35">
        <v>277.09960937499994</v>
      </c>
      <c r="L20" s="35">
        <v>38.027343749999993</v>
      </c>
      <c r="M20" s="35">
        <v>174.56054687499994</v>
      </c>
      <c r="N20" s="35">
        <v>1278.0761718749998</v>
      </c>
      <c r="O20" s="34">
        <v>4.0491170695970924</v>
      </c>
      <c r="P20" s="34">
        <v>2.0498712782705617</v>
      </c>
      <c r="Q20" s="43"/>
      <c r="R20" s="43"/>
      <c r="S20" s="38"/>
      <c r="T20" s="43"/>
      <c r="U20" s="44"/>
      <c r="V20" s="45"/>
      <c r="W20" s="44"/>
      <c r="X20" s="31"/>
      <c r="Y20" s="31"/>
      <c r="Z20" s="31"/>
      <c r="AA20" s="31"/>
      <c r="AB20" s="31"/>
      <c r="AC20" s="31"/>
      <c r="AD20" s="31"/>
    </row>
    <row r="21" spans="1:30">
      <c r="A21" s="32" t="s">
        <v>26</v>
      </c>
      <c r="B21" s="20" t="s">
        <v>20</v>
      </c>
      <c r="C21" s="20" t="s">
        <v>80</v>
      </c>
      <c r="D21" s="29">
        <v>15.6</v>
      </c>
      <c r="E21" s="56">
        <v>-0.6</v>
      </c>
      <c r="F21" s="49">
        <v>-1.8046153846153885</v>
      </c>
      <c r="G21" s="67">
        <v>0.23810721918771094</v>
      </c>
      <c r="H21" s="69">
        <v>0.05</v>
      </c>
      <c r="I21" s="39">
        <v>7.5514973410707906</v>
      </c>
      <c r="J21" s="50">
        <v>0.33190930003286229</v>
      </c>
      <c r="K21" s="51">
        <v>447.12653979824529</v>
      </c>
      <c r="L21" s="51">
        <v>27.269739790278731</v>
      </c>
      <c r="M21" s="51">
        <v>237.0069409175554</v>
      </c>
      <c r="N21" s="51">
        <v>791.68284886326285</v>
      </c>
      <c r="O21" s="39">
        <v>6.0061411365063728</v>
      </c>
      <c r="P21" s="39">
        <v>3.0218773927629305</v>
      </c>
      <c r="Q21" s="37">
        <v>0.44688000000000005</v>
      </c>
      <c r="R21" s="37">
        <v>0.50306350350002305</v>
      </c>
      <c r="S21" s="38">
        <v>0.04</v>
      </c>
      <c r="T21" s="26">
        <v>1.8045515301850736</v>
      </c>
      <c r="U21" s="26">
        <v>143.95516741317414</v>
      </c>
      <c r="V21" s="26">
        <v>4.2968332079580707</v>
      </c>
      <c r="W21" s="26">
        <v>7.57289564602877</v>
      </c>
      <c r="X21" s="26">
        <v>81.493578843547809</v>
      </c>
      <c r="Y21" s="41">
        <f>I21-W21</f>
        <v>-2.1398304957979342E-2</v>
      </c>
      <c r="Z21" s="39">
        <f>Y21/I21*100</f>
        <v>-0.28336505982196503</v>
      </c>
      <c r="AA21" s="41">
        <f>P21-T21</f>
        <v>1.2173258625778569</v>
      </c>
      <c r="AB21" s="41">
        <f>AA21/P21*100</f>
        <v>40.28376086644748</v>
      </c>
      <c r="AC21" s="41">
        <f>O21-V21</f>
        <v>1.7093079285483022</v>
      </c>
      <c r="AD21" s="42">
        <f>AC21/V21*100</f>
        <v>39.780644158645259</v>
      </c>
    </row>
    <row r="22" spans="1:30">
      <c r="A22" s="23" t="s">
        <v>27</v>
      </c>
      <c r="B22" s="20" t="s">
        <v>143</v>
      </c>
      <c r="C22" s="20"/>
      <c r="D22" s="29">
        <v>15.9</v>
      </c>
      <c r="E22" s="57">
        <v>0</v>
      </c>
      <c r="F22" s="60">
        <v>0</v>
      </c>
      <c r="G22" s="64">
        <v>9.7251584119550927E-2</v>
      </c>
      <c r="H22" s="64">
        <v>0.05</v>
      </c>
      <c r="I22" s="39">
        <v>1.5390072432204576</v>
      </c>
      <c r="J22" s="50">
        <v>0.36777775558706638</v>
      </c>
      <c r="K22" s="51">
        <v>943.66000279602974</v>
      </c>
      <c r="L22" s="51">
        <v>27.373130155179648</v>
      </c>
      <c r="M22" s="51">
        <v>136.8057358550858</v>
      </c>
      <c r="N22" s="51">
        <v>844.80038345549326</v>
      </c>
      <c r="O22" s="39">
        <v>5.8716864249223324</v>
      </c>
      <c r="P22" s="39">
        <v>3.9189787268581613</v>
      </c>
      <c r="Q22" s="43"/>
      <c r="R22" s="43"/>
      <c r="S22" s="38"/>
      <c r="T22" s="43"/>
      <c r="U22" s="44"/>
      <c r="V22" s="45"/>
      <c r="W22" s="44"/>
      <c r="X22" s="31"/>
      <c r="Y22" s="31"/>
      <c r="Z22" s="31"/>
      <c r="AA22" s="31"/>
      <c r="AB22" s="31"/>
      <c r="AC22" s="31"/>
      <c r="AD22" s="31"/>
    </row>
    <row r="23" spans="1:30">
      <c r="A23" s="32" t="s">
        <v>29</v>
      </c>
      <c r="B23" s="20" t="s">
        <v>28</v>
      </c>
      <c r="C23" s="20" t="s">
        <v>80</v>
      </c>
      <c r="D23" s="29">
        <v>16.2</v>
      </c>
      <c r="E23" s="56">
        <v>1.5</v>
      </c>
      <c r="F23" s="33">
        <v>1.3762499999999969</v>
      </c>
      <c r="G23" s="64">
        <v>1.2547260467066224E-2</v>
      </c>
      <c r="H23" s="64">
        <v>0.05</v>
      </c>
      <c r="I23" s="22">
        <v>0.72387821657951712</v>
      </c>
      <c r="J23" s="34"/>
      <c r="K23" s="28"/>
      <c r="L23" s="28"/>
      <c r="M23" s="28"/>
      <c r="N23" s="28"/>
      <c r="O23" s="46"/>
      <c r="P23" s="46"/>
      <c r="Q23" s="37">
        <v>0.55593999999999999</v>
      </c>
      <c r="R23" s="37">
        <v>0.68634215381592201</v>
      </c>
      <c r="S23" s="38">
        <v>0.04</v>
      </c>
      <c r="T23" s="26">
        <v>1.6513064798206101</v>
      </c>
      <c r="U23" s="26">
        <v>224.10097227702252</v>
      </c>
      <c r="V23" s="26">
        <v>1.8959030529881511</v>
      </c>
      <c r="W23" s="26">
        <v>0.62543098059810132</v>
      </c>
      <c r="X23" s="26">
        <v>84.205776842094608</v>
      </c>
      <c r="Y23" s="41"/>
      <c r="Z23" s="39"/>
      <c r="AA23" s="41"/>
      <c r="AB23" s="41"/>
      <c r="AC23" s="41"/>
      <c r="AD23" s="42"/>
    </row>
    <row r="24" spans="1:30">
      <c r="A24" s="32" t="s">
        <v>30</v>
      </c>
      <c r="B24" s="20" t="s">
        <v>28</v>
      </c>
      <c r="C24" s="20" t="s">
        <v>80</v>
      </c>
      <c r="D24" s="29">
        <v>16.5</v>
      </c>
      <c r="E24" s="56">
        <v>3</v>
      </c>
      <c r="F24" s="33">
        <v>2.7525000000000017</v>
      </c>
      <c r="G24" s="64">
        <v>3.4402692672630408E-2</v>
      </c>
      <c r="H24" s="64">
        <v>0.05</v>
      </c>
      <c r="I24" s="34">
        <v>0.57795582729607498</v>
      </c>
      <c r="J24" s="26">
        <v>0.19307097208207197</v>
      </c>
      <c r="K24" s="35">
        <v>639.64570019060432</v>
      </c>
      <c r="L24" s="35">
        <v>33.720708599618789</v>
      </c>
      <c r="M24" s="35">
        <v>93.199910303845712</v>
      </c>
      <c r="N24" s="35">
        <v>724.9971969951788</v>
      </c>
      <c r="O24" s="34">
        <v>4.6423532831885135</v>
      </c>
      <c r="P24" s="34">
        <v>3.1086941130075911</v>
      </c>
      <c r="Q24" s="37">
        <v>0.72352000000000005</v>
      </c>
      <c r="R24" s="37">
        <v>0.86557567736599295</v>
      </c>
      <c r="S24" s="38">
        <v>0.04</v>
      </c>
      <c r="T24" s="26">
        <v>1.2697152182086673</v>
      </c>
      <c r="U24" s="26">
        <v>148.84417396674192</v>
      </c>
      <c r="V24" s="26">
        <v>1.6608928174677426</v>
      </c>
      <c r="W24" s="26">
        <v>0.47604958234268169</v>
      </c>
      <c r="X24" s="26">
        <v>79.485536465425554</v>
      </c>
      <c r="Y24" s="41">
        <f>I24-W24</f>
        <v>0.10190624495339329</v>
      </c>
      <c r="Z24" s="39">
        <f>Y24/I24*100</f>
        <v>17.632185738165209</v>
      </c>
      <c r="AA24" s="41">
        <f>P24-T24</f>
        <v>1.8389788947989238</v>
      </c>
      <c r="AB24" s="41">
        <f>AA24/P24*100</f>
        <v>59.155993737182243</v>
      </c>
      <c r="AC24" s="41">
        <f>O24-V24</f>
        <v>2.9814604657207706</v>
      </c>
      <c r="AD24" s="42">
        <f>AC24/V24*100</f>
        <v>179.50950442825163</v>
      </c>
    </row>
    <row r="25" spans="1:30">
      <c r="A25" s="32" t="s">
        <v>31</v>
      </c>
      <c r="B25" s="32" t="s">
        <v>142</v>
      </c>
      <c r="C25" s="20" t="s">
        <v>80</v>
      </c>
      <c r="D25" s="29">
        <v>16.7</v>
      </c>
      <c r="E25" s="57">
        <v>3.9</v>
      </c>
      <c r="F25" s="60">
        <v>3.67</v>
      </c>
      <c r="G25" s="64">
        <v>-2.0753624920710756E-2</v>
      </c>
      <c r="H25" s="64">
        <v>0.05</v>
      </c>
      <c r="I25" s="39">
        <v>0.58802477453651725</v>
      </c>
      <c r="J25" s="26">
        <v>0.17965487353242457</v>
      </c>
      <c r="K25" s="35">
        <v>427.46828461114171</v>
      </c>
      <c r="L25" s="35">
        <v>35.29469702939091</v>
      </c>
      <c r="M25" s="35">
        <v>95.540146560554717</v>
      </c>
      <c r="N25" s="35">
        <v>770.23087227168855</v>
      </c>
      <c r="O25" s="39">
        <v>3.1676503381633165</v>
      </c>
      <c r="P25" s="39">
        <v>2.3288456403374704</v>
      </c>
      <c r="Q25" s="37">
        <v>0.59717000000000009</v>
      </c>
      <c r="R25" s="37">
        <v>0.684015719195877</v>
      </c>
      <c r="S25" s="38">
        <v>0.04</v>
      </c>
      <c r="T25" s="26">
        <v>1.4489136786535419</v>
      </c>
      <c r="U25" s="26">
        <v>131.40043730421129</v>
      </c>
      <c r="V25" s="26">
        <v>1.5213608599927166</v>
      </c>
      <c r="W25" s="26">
        <v>0.49670430887119826</v>
      </c>
      <c r="X25" s="26">
        <v>87.614076934221487</v>
      </c>
      <c r="Y25" s="41">
        <f>I25-W25</f>
        <v>9.1320465665318984E-2</v>
      </c>
      <c r="Z25" s="39">
        <f>Y25/I25*100</f>
        <v>15.530037103844482</v>
      </c>
      <c r="AA25" s="41">
        <f>P25-T25</f>
        <v>0.87993196168392851</v>
      </c>
      <c r="AB25" s="41">
        <f>AA25/P25*100</f>
        <v>37.784039716621947</v>
      </c>
      <c r="AC25" s="41">
        <f>O25-V25</f>
        <v>1.6462894781705999</v>
      </c>
      <c r="AD25" s="42">
        <f>AC25/V25*100</f>
        <v>108.21163613861351</v>
      </c>
    </row>
    <row r="26" spans="1:30">
      <c r="A26" s="32" t="s">
        <v>33</v>
      </c>
      <c r="B26" s="32" t="s">
        <v>32</v>
      </c>
      <c r="C26" s="20" t="s">
        <v>80</v>
      </c>
      <c r="D26" s="29">
        <v>16.899999999999999</v>
      </c>
      <c r="E26" s="56">
        <v>9.5</v>
      </c>
      <c r="F26" s="33">
        <v>9.0733333333333022</v>
      </c>
      <c r="G26" s="64">
        <v>-3.0713947579030787E-2</v>
      </c>
      <c r="H26" s="64">
        <v>0.05</v>
      </c>
      <c r="I26" s="39">
        <v>0.42881116291279697</v>
      </c>
      <c r="J26" s="26">
        <v>0.15205799669987166</v>
      </c>
      <c r="K26" s="35">
        <v>364.38917068997125</v>
      </c>
      <c r="L26" s="35">
        <v>34.580303122899224</v>
      </c>
      <c r="M26" s="35">
        <v>112.29603373464523</v>
      </c>
      <c r="N26" s="35">
        <v>826.1779624763185</v>
      </c>
      <c r="O26" s="39">
        <v>2.8445881330989815</v>
      </c>
      <c r="P26" s="39">
        <v>2.5840223838775507</v>
      </c>
      <c r="Q26" s="37">
        <v>0.48544999999999999</v>
      </c>
      <c r="R26" s="37">
        <v>0.54063855318312803</v>
      </c>
      <c r="S26" s="38">
        <v>0.04</v>
      </c>
      <c r="T26" s="26">
        <v>1.8348642286416146</v>
      </c>
      <c r="U26" s="26">
        <v>133.78822593869393</v>
      </c>
      <c r="V26" s="26">
        <v>1.686747379141432</v>
      </c>
      <c r="W26" s="26">
        <v>0.37755450595033724</v>
      </c>
      <c r="X26" s="26">
        <v>87.638956636342044</v>
      </c>
      <c r="Y26" s="41">
        <f>I26-W26</f>
        <v>5.1256656962459735E-2</v>
      </c>
      <c r="Z26" s="39">
        <f>Y26/I26*100</f>
        <v>11.953200241870404</v>
      </c>
      <c r="AA26" s="41">
        <f>P26-T26</f>
        <v>0.7491581552359361</v>
      </c>
      <c r="AB26" s="41">
        <f>AA26/P26*100</f>
        <v>28.991937527714406</v>
      </c>
      <c r="AC26" s="41">
        <f>O26-V26</f>
        <v>1.1578407539575495</v>
      </c>
      <c r="AD26" s="42">
        <f>AC26/V26*100</f>
        <v>68.643400207735894</v>
      </c>
    </row>
    <row r="27" spans="1:30">
      <c r="A27" s="23" t="s">
        <v>34</v>
      </c>
      <c r="B27" s="29" t="s">
        <v>32</v>
      </c>
      <c r="C27" s="20"/>
      <c r="D27" s="29">
        <v>17.3</v>
      </c>
      <c r="E27" s="57">
        <v>20.5</v>
      </c>
      <c r="F27" s="60">
        <v>19.88</v>
      </c>
      <c r="G27" s="64">
        <v>-4.668502521842921E-2</v>
      </c>
      <c r="H27" s="64">
        <v>0.05</v>
      </c>
      <c r="I27" s="39">
        <v>0.56136109421445801</v>
      </c>
      <c r="J27" s="26">
        <v>0.17076464299780561</v>
      </c>
      <c r="K27" s="35">
        <v>507.32384328288219</v>
      </c>
      <c r="L27" s="35">
        <v>36.127834355483039</v>
      </c>
      <c r="M27" s="35">
        <v>80.646673793582011</v>
      </c>
      <c r="N27" s="35">
        <v>748.32611264277261</v>
      </c>
      <c r="O27" s="39">
        <v>3.7978885042983657</v>
      </c>
      <c r="P27" s="39">
        <v>2.748527061609638</v>
      </c>
      <c r="Q27" s="43"/>
      <c r="R27" s="43"/>
      <c r="S27" s="38"/>
      <c r="T27" s="43"/>
      <c r="U27" s="44"/>
      <c r="V27" s="45"/>
      <c r="W27" s="44"/>
      <c r="X27" s="31"/>
      <c r="Y27" s="31"/>
      <c r="Z27" s="31"/>
      <c r="AA27" s="31"/>
      <c r="AB27" s="31"/>
      <c r="AC27" s="31"/>
      <c r="AD27" s="31"/>
    </row>
    <row r="28" spans="1:30">
      <c r="A28" s="32" t="s">
        <v>36</v>
      </c>
      <c r="B28" s="29" t="s">
        <v>141</v>
      </c>
      <c r="C28" s="20" t="s">
        <v>80</v>
      </c>
      <c r="D28" s="29">
        <v>17.5</v>
      </c>
      <c r="E28" s="56">
        <v>22.1</v>
      </c>
      <c r="F28" s="33">
        <v>21.424999999999994</v>
      </c>
      <c r="G28" s="64">
        <v>-4.3934133652445695E-2</v>
      </c>
      <c r="H28" s="64">
        <v>0.05</v>
      </c>
      <c r="I28" s="39">
        <v>0.46329093656296955</v>
      </c>
      <c r="J28" s="26">
        <v>0.16225240338086325</v>
      </c>
      <c r="K28" s="35">
        <v>431.03587328214712</v>
      </c>
      <c r="L28" s="35">
        <v>29.915075166139747</v>
      </c>
      <c r="M28" s="35">
        <v>66.052648557971466</v>
      </c>
      <c r="N28" s="35">
        <v>796.01909800632279</v>
      </c>
      <c r="O28" s="39">
        <v>3.1773474538279487</v>
      </c>
      <c r="P28" s="39">
        <v>2.5781704097823446</v>
      </c>
      <c r="Q28" s="37">
        <v>0.58520000000000005</v>
      </c>
      <c r="R28" s="37">
        <v>0.654630984984932</v>
      </c>
      <c r="S28" s="38">
        <v>0.04</v>
      </c>
      <c r="T28" s="26">
        <v>1.8102173249686768</v>
      </c>
      <c r="U28" s="26">
        <v>137.13851750306173</v>
      </c>
      <c r="V28" s="26">
        <v>1.6084377944797297</v>
      </c>
      <c r="W28" s="26">
        <v>0.40875329582025904</v>
      </c>
      <c r="X28" s="26">
        <v>87.886772622224541</v>
      </c>
      <c r="Y28" s="41">
        <f>I28-W28</f>
        <v>5.4537640742710503E-2</v>
      </c>
      <c r="Z28" s="39">
        <f>Y28/I28*100</f>
        <v>11.771790993217037</v>
      </c>
      <c r="AA28" s="41">
        <f>P28-T28</f>
        <v>0.76795308481366775</v>
      </c>
      <c r="AB28" s="41">
        <f>AA28/P28*100</f>
        <v>29.78674651992846</v>
      </c>
      <c r="AC28" s="41">
        <f>O28-V28</f>
        <v>1.568909659348219</v>
      </c>
      <c r="AD28" s="42">
        <f>AC28/V28*100</f>
        <v>97.542451733777085</v>
      </c>
    </row>
    <row r="29" spans="1:30">
      <c r="A29" s="32" t="s">
        <v>37</v>
      </c>
      <c r="B29" s="29" t="s">
        <v>35</v>
      </c>
      <c r="C29" s="20" t="s">
        <v>80</v>
      </c>
      <c r="D29" s="29">
        <v>17.8</v>
      </c>
      <c r="E29" s="56">
        <v>24.4</v>
      </c>
      <c r="F29" s="33">
        <v>23.7425</v>
      </c>
      <c r="G29" s="64">
        <v>0.10268710349858878</v>
      </c>
      <c r="H29" s="64">
        <v>0.05</v>
      </c>
      <c r="I29" s="39">
        <v>0.46737282161393073</v>
      </c>
      <c r="J29" s="26">
        <v>0.15480427046263345</v>
      </c>
      <c r="K29" s="35">
        <v>313.00549983824004</v>
      </c>
      <c r="L29" s="35">
        <v>32.637495956001295</v>
      </c>
      <c r="M29" s="35">
        <v>64.299579424134578</v>
      </c>
      <c r="N29" s="35">
        <v>743.69136201876404</v>
      </c>
      <c r="O29" s="39">
        <v>2.4176663098722755</v>
      </c>
      <c r="P29" s="39">
        <v>2.0279266339442832</v>
      </c>
      <c r="Q29" s="48">
        <v>0.63041999999999998</v>
      </c>
      <c r="R29" s="48">
        <v>0.69467593115441395</v>
      </c>
      <c r="S29" s="38">
        <v>0.04</v>
      </c>
      <c r="T29" s="26">
        <v>1.6985532785425843</v>
      </c>
      <c r="U29" s="26">
        <v>112.22306035436885</v>
      </c>
      <c r="V29" s="26">
        <v>1.5386990436781622</v>
      </c>
      <c r="W29" s="26">
        <v>0.4074276705552754</v>
      </c>
      <c r="X29" s="26">
        <v>91.583064046912057</v>
      </c>
      <c r="Y29" s="41">
        <f>I29-W29</f>
        <v>5.9945151058655333E-2</v>
      </c>
      <c r="Z29" s="39">
        <f>Y29/I29*100</f>
        <v>12.825981376420836</v>
      </c>
      <c r="AA29" s="41">
        <f>P29-T29</f>
        <v>0.32937335540169888</v>
      </c>
      <c r="AB29" s="41">
        <f>AA29/P29*100</f>
        <v>16.241877289272207</v>
      </c>
      <c r="AC29" s="41">
        <f>O29-V29</f>
        <v>0.87896726619411325</v>
      </c>
      <c r="AD29" s="42">
        <f>AC29/V29*100</f>
        <v>57.124053583148914</v>
      </c>
    </row>
    <row r="30" spans="1:30">
      <c r="A30" s="32" t="s">
        <v>38</v>
      </c>
      <c r="B30" s="29" t="s">
        <v>35</v>
      </c>
      <c r="C30" s="20" t="s">
        <v>80</v>
      </c>
      <c r="D30" s="29">
        <v>18</v>
      </c>
      <c r="E30" s="56">
        <v>26</v>
      </c>
      <c r="F30" s="33">
        <v>25.287499999999994</v>
      </c>
      <c r="G30" s="64">
        <v>-1.473417316077974E-2</v>
      </c>
      <c r="H30" s="64">
        <v>0.05</v>
      </c>
      <c r="I30" s="39">
        <v>0.38646268369727932</v>
      </c>
      <c r="J30" s="26">
        <v>0.13526599909341902</v>
      </c>
      <c r="K30" s="35">
        <v>347.17929698767875</v>
      </c>
      <c r="L30" s="35">
        <v>32.748176536036596</v>
      </c>
      <c r="M30" s="35">
        <v>51.510281452177857</v>
      </c>
      <c r="N30" s="35">
        <v>685.08674331396548</v>
      </c>
      <c r="O30" s="39">
        <v>2.7500848725771294</v>
      </c>
      <c r="P30" s="39">
        <v>2.1244516267298854</v>
      </c>
      <c r="Q30" s="48">
        <v>0.56525000000000003</v>
      </c>
      <c r="R30" s="48">
        <v>0.62919698085791498</v>
      </c>
      <c r="S30" s="38">
        <v>0.04</v>
      </c>
      <c r="T30" s="26">
        <v>1.5952839401458605</v>
      </c>
      <c r="U30" s="26">
        <v>115.80928286031981</v>
      </c>
      <c r="V30" s="26">
        <v>1.4602127292231948</v>
      </c>
      <c r="W30" s="26">
        <v>0.33637660929427815</v>
      </c>
      <c r="X30" s="26">
        <v>86.463619132535541</v>
      </c>
      <c r="Y30" s="41">
        <f>I30-W30</f>
        <v>5.0086074403001168E-2</v>
      </c>
      <c r="Z30" s="39">
        <f>Y30/I30*100</f>
        <v>12.960132120345715</v>
      </c>
      <c r="AA30" s="41">
        <f>P30-T30</f>
        <v>0.52916768658402491</v>
      </c>
      <c r="AB30" s="41">
        <f>AA30/P30*100</f>
        <v>24.908436601993113</v>
      </c>
      <c r="AC30" s="41">
        <f>O30-V30</f>
        <v>1.2898721433539346</v>
      </c>
      <c r="AD30" s="42">
        <f>AC30/V30*100</f>
        <v>88.334536300071974</v>
      </c>
    </row>
    <row r="31" spans="1:30">
      <c r="A31" s="23" t="s">
        <v>39</v>
      </c>
      <c r="B31" s="29" t="s">
        <v>35</v>
      </c>
      <c r="C31" s="20"/>
      <c r="D31" s="29">
        <v>18.2</v>
      </c>
      <c r="E31" s="56">
        <v>27.6</v>
      </c>
      <c r="F31" s="33">
        <v>26.832499999999989</v>
      </c>
      <c r="G31" s="64">
        <v>1.3256816806306304E-2</v>
      </c>
      <c r="H31" s="64">
        <v>0.05</v>
      </c>
      <c r="I31" s="39">
        <v>0.38251944085797118</v>
      </c>
      <c r="J31" s="26">
        <v>0.13551763460128693</v>
      </c>
      <c r="K31" s="35">
        <v>389.95682984442448</v>
      </c>
      <c r="L31" s="35">
        <v>33.570904944204607</v>
      </c>
      <c r="M31" s="35">
        <v>52.944530422741707</v>
      </c>
      <c r="N31" s="35">
        <v>679.11541907632159</v>
      </c>
      <c r="O31" s="39">
        <v>2.7788055908515412</v>
      </c>
      <c r="P31" s="39">
        <v>2.5737643625015161</v>
      </c>
      <c r="Q31" s="43"/>
      <c r="R31" s="43"/>
      <c r="S31" s="38"/>
      <c r="T31" s="43"/>
      <c r="U31" s="44"/>
      <c r="V31" s="45"/>
      <c r="W31" s="44"/>
      <c r="X31" s="31"/>
      <c r="Y31" s="31"/>
      <c r="Z31" s="31"/>
      <c r="AA31" s="31"/>
      <c r="AB31" s="31"/>
      <c r="AC31" s="31"/>
      <c r="AD31" s="31"/>
    </row>
    <row r="32" spans="1:30">
      <c r="A32" s="23" t="s">
        <v>40</v>
      </c>
      <c r="B32" s="29" t="s">
        <v>35</v>
      </c>
      <c r="C32" s="20"/>
      <c r="D32" s="29">
        <v>18.399999999999999</v>
      </c>
      <c r="E32" s="56">
        <v>29.1</v>
      </c>
      <c r="F32" s="33">
        <v>28.377499999999984</v>
      </c>
      <c r="G32" s="64">
        <v>3.6421600947189603E-2</v>
      </c>
      <c r="H32" s="64">
        <v>0.05</v>
      </c>
      <c r="I32" s="39">
        <v>0.367108358639747</v>
      </c>
      <c r="J32" s="50">
        <v>0.151233642992708</v>
      </c>
      <c r="K32" s="51">
        <v>453.50114873638989</v>
      </c>
      <c r="L32" s="51">
        <v>29.809209869143931</v>
      </c>
      <c r="M32" s="51">
        <v>50.943961642193578</v>
      </c>
      <c r="N32" s="51">
        <v>636.30006992308449</v>
      </c>
      <c r="O32" s="39">
        <v>3.0101741093213104</v>
      </c>
      <c r="P32" s="39">
        <v>2.445352774992509</v>
      </c>
      <c r="Q32" s="43"/>
      <c r="R32" s="43"/>
      <c r="S32" s="38"/>
      <c r="T32" s="43"/>
      <c r="U32" s="44"/>
      <c r="V32" s="45"/>
      <c r="W32" s="44"/>
      <c r="X32" s="31"/>
      <c r="Y32" s="31"/>
      <c r="Z32" s="31"/>
      <c r="AA32" s="31"/>
      <c r="AB32" s="31"/>
      <c r="AC32" s="31"/>
      <c r="AD32" s="31"/>
    </row>
    <row r="33" spans="1:30">
      <c r="A33" s="23" t="s">
        <v>41</v>
      </c>
      <c r="B33" s="29" t="s">
        <v>35</v>
      </c>
      <c r="C33" s="20"/>
      <c r="D33" s="29">
        <v>18.600000000000001</v>
      </c>
      <c r="E33" s="56">
        <v>30.7</v>
      </c>
      <c r="F33" s="33">
        <v>29.922500000000007</v>
      </c>
      <c r="G33" s="64">
        <v>1.6834338212090572E-2</v>
      </c>
      <c r="H33" s="64">
        <v>0.05</v>
      </c>
      <c r="I33" s="39">
        <v>0.39508861073074214</v>
      </c>
      <c r="J33" s="26">
        <v>0.15680211439061539</v>
      </c>
      <c r="K33" s="35">
        <v>619.27949275456649</v>
      </c>
      <c r="L33" s="35">
        <v>34.296873982840104</v>
      </c>
      <c r="M33" s="35">
        <v>72.454333589386366</v>
      </c>
      <c r="N33" s="35">
        <v>688.99970054812695</v>
      </c>
      <c r="O33" s="39">
        <v>3.1295359915119914</v>
      </c>
      <c r="P33" s="39">
        <v>2.9311367789672955</v>
      </c>
      <c r="Q33" s="43"/>
      <c r="R33" s="43"/>
      <c r="S33" s="38"/>
      <c r="T33" s="43"/>
      <c r="U33" s="44"/>
      <c r="V33" s="45"/>
      <c r="W33" s="44"/>
      <c r="X33" s="31"/>
      <c r="Y33" s="31"/>
      <c r="Z33" s="31"/>
      <c r="AA33" s="31"/>
      <c r="AB33" s="31"/>
      <c r="AC33" s="31"/>
      <c r="AD33" s="31"/>
    </row>
    <row r="34" spans="1:30">
      <c r="A34" s="32" t="s">
        <v>42</v>
      </c>
      <c r="B34" s="29" t="s">
        <v>35</v>
      </c>
      <c r="C34" s="20" t="s">
        <v>80</v>
      </c>
      <c r="D34" s="29">
        <v>18.8</v>
      </c>
      <c r="E34" s="56">
        <v>32.299999999999997</v>
      </c>
      <c r="F34" s="33">
        <v>31.467500000000001</v>
      </c>
      <c r="G34" s="64">
        <v>4.8742975985449633E-2</v>
      </c>
      <c r="H34" s="64">
        <v>0.05</v>
      </c>
      <c r="I34" s="39">
        <v>0.33590355436321517</v>
      </c>
      <c r="J34" s="50">
        <v>0.13998101613628414</v>
      </c>
      <c r="K34" s="51">
        <v>532.54733476544936</v>
      </c>
      <c r="L34" s="51">
        <v>28.72957985712145</v>
      </c>
      <c r="M34" s="51">
        <v>51.955837538092617</v>
      </c>
      <c r="N34" s="51">
        <v>582.50487085976908</v>
      </c>
      <c r="O34" s="39">
        <v>3.0602648373605348</v>
      </c>
      <c r="P34" s="39">
        <v>2.9353251784166026</v>
      </c>
      <c r="Q34" s="48">
        <v>0.63973000000000002</v>
      </c>
      <c r="R34" s="48">
        <v>0.74124834464554001</v>
      </c>
      <c r="S34" s="38">
        <v>0.04</v>
      </c>
      <c r="T34" s="26">
        <v>1.7235352131026067</v>
      </c>
      <c r="U34" s="26">
        <v>168.60595761613871</v>
      </c>
      <c r="V34" s="26">
        <v>1.3343995255671874</v>
      </c>
      <c r="W34" s="26">
        <v>0.32136023848273304</v>
      </c>
      <c r="X34" s="26">
        <v>84.754965827057134</v>
      </c>
      <c r="Y34" s="41">
        <f>I34-W34</f>
        <v>1.4543315880482133E-2</v>
      </c>
      <c r="Z34" s="39">
        <f>Y34/I34*100</f>
        <v>4.3296105955331248</v>
      </c>
      <c r="AA34" s="41">
        <f>P34-T34</f>
        <v>1.2117899653139959</v>
      </c>
      <c r="AB34" s="41">
        <f>AA34/P34*100</f>
        <v>41.282988822644498</v>
      </c>
      <c r="AC34" s="41">
        <f>O34-V34</f>
        <v>1.7258653117933473</v>
      </c>
      <c r="AD34" s="42">
        <f>AC34/V34*100</f>
        <v>129.33647522542148</v>
      </c>
    </row>
    <row r="35" spans="1:30">
      <c r="A35" s="23" t="s">
        <v>43</v>
      </c>
      <c r="B35" s="29" t="s">
        <v>35</v>
      </c>
      <c r="C35" s="20"/>
      <c r="D35" s="29">
        <v>19</v>
      </c>
      <c r="E35" s="56">
        <v>33.9</v>
      </c>
      <c r="F35" s="33">
        <v>33.012499999999996</v>
      </c>
      <c r="G35" s="64">
        <v>2.1197716257859156E-2</v>
      </c>
      <c r="H35" s="64">
        <v>0.05</v>
      </c>
      <c r="I35" s="39">
        <v>0.38583948046790262</v>
      </c>
      <c r="J35" s="26">
        <v>0.13529349801174517</v>
      </c>
      <c r="K35" s="35">
        <v>444.39470149843299</v>
      </c>
      <c r="L35" s="35">
        <v>31.474995391462347</v>
      </c>
      <c r="M35" s="35">
        <v>70.115608458641645</v>
      </c>
      <c r="N35" s="35">
        <v>670.54222737208011</v>
      </c>
      <c r="O35" s="39">
        <v>2.8330977785481193</v>
      </c>
      <c r="P35" s="39">
        <v>2.8581743545511409</v>
      </c>
      <c r="Q35" s="43"/>
      <c r="R35" s="43"/>
      <c r="S35" s="38"/>
      <c r="T35" s="43"/>
      <c r="U35" s="44"/>
      <c r="V35" s="45"/>
      <c r="W35" s="44"/>
      <c r="X35" s="31"/>
      <c r="Y35" s="31"/>
      <c r="Z35" s="31"/>
      <c r="AA35" s="31"/>
      <c r="AB35" s="31"/>
      <c r="AC35" s="31"/>
      <c r="AD35" s="31"/>
    </row>
    <row r="36" spans="1:30">
      <c r="A36" s="32" t="s">
        <v>44</v>
      </c>
      <c r="B36" s="29" t="s">
        <v>35</v>
      </c>
      <c r="C36" s="20" t="s">
        <v>80</v>
      </c>
      <c r="D36" s="29">
        <v>19.2</v>
      </c>
      <c r="E36" s="56">
        <v>35.5</v>
      </c>
      <c r="F36" s="33">
        <v>34.55749999999999</v>
      </c>
      <c r="G36" s="64">
        <v>5.8941367186982063E-2</v>
      </c>
      <c r="H36" s="64">
        <v>0.05</v>
      </c>
      <c r="I36" s="26">
        <v>0.2807741132218074</v>
      </c>
      <c r="J36" s="34"/>
      <c r="K36" s="28"/>
      <c r="L36" s="28"/>
      <c r="M36" s="28"/>
      <c r="N36" s="28"/>
      <c r="O36" s="28"/>
      <c r="P36" s="28"/>
      <c r="Q36" s="37">
        <v>0.62775999999999998</v>
      </c>
      <c r="R36" s="37">
        <v>0.74843681063080003</v>
      </c>
      <c r="S36" s="38">
        <v>0.04</v>
      </c>
      <c r="T36" s="26">
        <v>1.427390134774857</v>
      </c>
      <c r="U36" s="26">
        <v>164.39300700169449</v>
      </c>
      <c r="V36" s="26">
        <v>1.668460228097473</v>
      </c>
      <c r="W36" s="26">
        <v>0.30921752492861199</v>
      </c>
      <c r="X36" s="26">
        <v>85.41587723702095</v>
      </c>
      <c r="Y36" s="41"/>
      <c r="Z36" s="39"/>
      <c r="AA36" s="41"/>
      <c r="AB36" s="41"/>
      <c r="AC36" s="41"/>
      <c r="AD36" s="42"/>
    </row>
    <row r="37" spans="1:30">
      <c r="A37" s="23" t="s">
        <v>45</v>
      </c>
      <c r="B37" s="29" t="s">
        <v>35</v>
      </c>
      <c r="C37" s="20"/>
      <c r="D37" s="29">
        <v>19.399999999999999</v>
      </c>
      <c r="E37" s="56">
        <v>37</v>
      </c>
      <c r="F37" s="33">
        <v>36.102499999999992</v>
      </c>
      <c r="G37" s="64">
        <v>2.3243511107828851E-2</v>
      </c>
      <c r="H37" s="64">
        <v>0.05</v>
      </c>
      <c r="I37" s="39">
        <v>0.35712485767545943</v>
      </c>
      <c r="J37" s="26">
        <v>0.12924391875849864</v>
      </c>
      <c r="K37" s="35">
        <v>513.47909606958626</v>
      </c>
      <c r="L37" s="35">
        <v>28.771664760095831</v>
      </c>
      <c r="M37" s="35">
        <v>56.981286827394179</v>
      </c>
      <c r="N37" s="35">
        <v>668.88260559884293</v>
      </c>
      <c r="O37" s="39">
        <v>3.5457366266910317</v>
      </c>
      <c r="P37" s="39">
        <v>2.8777788617303086</v>
      </c>
      <c r="Q37" s="43"/>
      <c r="R37" s="43"/>
      <c r="S37" s="38"/>
      <c r="T37" s="43"/>
      <c r="U37" s="44"/>
      <c r="V37" s="45"/>
      <c r="W37" s="44"/>
      <c r="X37" s="31"/>
      <c r="Y37" s="31"/>
      <c r="Z37" s="31"/>
      <c r="AA37" s="31"/>
      <c r="AB37" s="31"/>
      <c r="AC37" s="31"/>
      <c r="AD37" s="31"/>
    </row>
    <row r="38" spans="1:30">
      <c r="A38" s="23" t="s">
        <v>46</v>
      </c>
      <c r="B38" s="29" t="s">
        <v>35</v>
      </c>
      <c r="C38" s="20"/>
      <c r="D38" s="29">
        <v>19.600000000000001</v>
      </c>
      <c r="E38" s="56">
        <v>38.6</v>
      </c>
      <c r="F38" s="33">
        <v>37.647500000000008</v>
      </c>
      <c r="G38" s="64">
        <v>2.683257548952156E-2</v>
      </c>
      <c r="H38" s="64">
        <v>0.05</v>
      </c>
      <c r="I38" s="39">
        <v>0.34629431952377865</v>
      </c>
      <c r="J38" s="50">
        <v>0.1466120327803318</v>
      </c>
      <c r="K38" s="51">
        <v>506.69598241055371</v>
      </c>
      <c r="L38" s="51">
        <v>29.62622426544074</v>
      </c>
      <c r="M38" s="51">
        <v>67.959224465320816</v>
      </c>
      <c r="N38" s="51">
        <v>657.60543673795735</v>
      </c>
      <c r="O38" s="39">
        <v>4.1221058278349583</v>
      </c>
      <c r="P38" s="39">
        <v>3.2422411307225341</v>
      </c>
      <c r="Q38" s="43"/>
      <c r="R38" s="43"/>
      <c r="S38" s="38"/>
      <c r="T38" s="43"/>
      <c r="U38" s="44"/>
      <c r="V38" s="45"/>
      <c r="W38" s="44"/>
      <c r="X38" s="31"/>
      <c r="Y38" s="31"/>
      <c r="Z38" s="31"/>
      <c r="AA38" s="31"/>
      <c r="AB38" s="31"/>
      <c r="AC38" s="31"/>
      <c r="AD38" s="31"/>
    </row>
    <row r="39" spans="1:30">
      <c r="A39" s="23" t="s">
        <v>47</v>
      </c>
      <c r="B39" s="29" t="s">
        <v>35</v>
      </c>
      <c r="C39" s="20"/>
      <c r="D39" s="29">
        <v>19.8</v>
      </c>
      <c r="E39" s="56">
        <v>40.200000000000003</v>
      </c>
      <c r="F39" s="33">
        <v>39.19250000000001</v>
      </c>
      <c r="G39" s="64">
        <v>-5.3670946381645379E-3</v>
      </c>
      <c r="H39" s="64">
        <v>0.05</v>
      </c>
      <c r="I39" s="39">
        <v>0.36033944439846816</v>
      </c>
      <c r="J39" s="26">
        <v>0.16409366228394151</v>
      </c>
      <c r="K39" s="35">
        <v>630.4476288964396</v>
      </c>
      <c r="L39" s="35">
        <v>30.006647953907517</v>
      </c>
      <c r="M39" s="35">
        <v>74.235485300635247</v>
      </c>
      <c r="N39" s="35">
        <v>776.70261486187019</v>
      </c>
      <c r="O39" s="39">
        <v>3.7393870860094469</v>
      </c>
      <c r="P39" s="39">
        <v>2.6602640870931875</v>
      </c>
      <c r="Q39" s="43"/>
      <c r="R39" s="43"/>
      <c r="S39" s="38"/>
      <c r="T39" s="43"/>
      <c r="U39" s="44"/>
      <c r="V39" s="45"/>
      <c r="W39" s="44"/>
      <c r="X39" s="31"/>
      <c r="Y39" s="31"/>
      <c r="Z39" s="31"/>
      <c r="AA39" s="31"/>
      <c r="AB39" s="31"/>
      <c r="AC39" s="31"/>
      <c r="AD39" s="31"/>
    </row>
    <row r="40" spans="1:30">
      <c r="A40" s="32" t="s">
        <v>48</v>
      </c>
      <c r="B40" s="29" t="s">
        <v>35</v>
      </c>
      <c r="C40" s="20" t="s">
        <v>80</v>
      </c>
      <c r="D40" s="29">
        <v>20</v>
      </c>
      <c r="E40" s="56">
        <v>41.8</v>
      </c>
      <c r="F40" s="33">
        <v>40.737499999999997</v>
      </c>
      <c r="G40" s="64">
        <v>8.2449705172127352E-2</v>
      </c>
      <c r="H40" s="64">
        <v>0.05</v>
      </c>
      <c r="I40" s="39">
        <v>0.38438359255246296</v>
      </c>
      <c r="J40" s="50">
        <v>0.15662458046987371</v>
      </c>
      <c r="K40" s="51">
        <v>482.45964519737885</v>
      </c>
      <c r="L40" s="51">
        <v>29.836583027009741</v>
      </c>
      <c r="M40" s="51">
        <v>64.92728144478184</v>
      </c>
      <c r="N40" s="51">
        <v>681.23701454371098</v>
      </c>
      <c r="O40" s="39">
        <v>3.1248706375233075</v>
      </c>
      <c r="P40" s="39">
        <v>2.5093368349594578</v>
      </c>
      <c r="Q40" s="37">
        <v>0.68096000000000001</v>
      </c>
      <c r="R40" s="37">
        <v>0.78785865728237703</v>
      </c>
      <c r="S40" s="38">
        <v>0.04</v>
      </c>
      <c r="T40" s="26">
        <v>1.3987104716257033</v>
      </c>
      <c r="U40" s="26">
        <v>135.5575556981795</v>
      </c>
      <c r="V40" s="26">
        <v>1.3405604215422458</v>
      </c>
      <c r="W40" s="26">
        <v>0.3416478473110211</v>
      </c>
      <c r="X40" s="26">
        <v>86.735077713883285</v>
      </c>
      <c r="Y40" s="41">
        <f>I40-W40</f>
        <v>4.2735745241441858E-2</v>
      </c>
      <c r="Z40" s="39">
        <f>Y40/I40*100</f>
        <v>11.117994126039349</v>
      </c>
      <c r="AA40" s="41">
        <f>P40-T40</f>
        <v>1.1106263633337545</v>
      </c>
      <c r="AB40" s="41">
        <f>AA40/P40*100</f>
        <v>44.2597561180621</v>
      </c>
      <c r="AC40" s="41">
        <f>O40-V40</f>
        <v>1.7843102159810618</v>
      </c>
      <c r="AD40" s="42">
        <f>AC40/V40*100</f>
        <v>133.10181229491354</v>
      </c>
    </row>
    <row r="41" spans="1:30">
      <c r="A41" s="32" t="s">
        <v>49</v>
      </c>
      <c r="B41" s="29" t="s">
        <v>35</v>
      </c>
      <c r="C41" s="20" t="s">
        <v>80</v>
      </c>
      <c r="D41" s="29">
        <v>20.3</v>
      </c>
      <c r="E41" s="56">
        <v>44.1</v>
      </c>
      <c r="F41" s="33">
        <v>43.055000000000007</v>
      </c>
      <c r="G41" s="64">
        <v>3.3946884028246416E-2</v>
      </c>
      <c r="H41" s="64">
        <v>0.05</v>
      </c>
      <c r="I41" s="39">
        <v>0.36989472937620482</v>
      </c>
      <c r="J41" s="26">
        <v>0.13190876049630279</v>
      </c>
      <c r="K41" s="35">
        <v>435.51823536784065</v>
      </c>
      <c r="L41" s="35">
        <v>29.666938212808624</v>
      </c>
      <c r="M41" s="35">
        <v>54.831432510339646</v>
      </c>
      <c r="N41" s="35">
        <v>650.92743451560341</v>
      </c>
      <c r="O41" s="39">
        <v>2.8096055008006506</v>
      </c>
      <c r="P41" s="39">
        <v>2.9229651191068786</v>
      </c>
      <c r="Q41" s="37">
        <v>0.55461000000000005</v>
      </c>
      <c r="R41" s="37">
        <v>0.629579108851266</v>
      </c>
      <c r="S41" s="38">
        <v>0.04</v>
      </c>
      <c r="T41" s="26">
        <v>1.608397501060858</v>
      </c>
      <c r="U41" s="26">
        <v>136.80355839310187</v>
      </c>
      <c r="V41" s="26">
        <v>1.3263076776334672</v>
      </c>
      <c r="W41" s="26">
        <v>0.33039153098970087</v>
      </c>
      <c r="X41" s="26">
        <v>85.819012751915892</v>
      </c>
      <c r="Y41" s="41">
        <f>I41-W41</f>
        <v>3.9503198386503957E-2</v>
      </c>
      <c r="Z41" s="39">
        <f>Y41/I41*100</f>
        <v>10.679578606897874</v>
      </c>
      <c r="AA41" s="41">
        <f>P41-T41</f>
        <v>1.3145676180460206</v>
      </c>
      <c r="AB41" s="41">
        <f>AA41/P41*100</f>
        <v>44.973770280491443</v>
      </c>
      <c r="AC41" s="41">
        <f>O41-V41</f>
        <v>1.4832978231671834</v>
      </c>
      <c r="AD41" s="42">
        <f>AC41/V41*100</f>
        <v>111.83663098549152</v>
      </c>
    </row>
    <row r="42" spans="1:30">
      <c r="A42" s="23" t="s">
        <v>50</v>
      </c>
      <c r="B42" s="29" t="s">
        <v>35</v>
      </c>
      <c r="C42" s="20"/>
      <c r="D42" s="29">
        <v>20.5</v>
      </c>
      <c r="E42" s="57">
        <v>45.7</v>
      </c>
      <c r="F42" s="60">
        <v>44.6</v>
      </c>
      <c r="G42" s="64">
        <v>-1.5460942697220759E-3</v>
      </c>
      <c r="H42" s="64">
        <v>0.05</v>
      </c>
      <c r="I42" s="39">
        <v>0.35188098426175851</v>
      </c>
      <c r="J42" s="50">
        <v>0.11379544818207271</v>
      </c>
      <c r="K42" s="51">
        <v>165.99336026558939</v>
      </c>
      <c r="L42" s="51">
        <v>31.234750609975599</v>
      </c>
      <c r="M42" s="51">
        <v>78.996840126394943</v>
      </c>
      <c r="N42" s="51">
        <v>580.97676092956272</v>
      </c>
      <c r="O42" s="39">
        <v>1.2766928197114114</v>
      </c>
      <c r="P42" s="39">
        <v>1.8866521582876525</v>
      </c>
      <c r="Q42" s="43"/>
      <c r="R42" s="43"/>
      <c r="S42" s="38"/>
      <c r="T42" s="43"/>
      <c r="U42" s="44"/>
      <c r="V42" s="45"/>
      <c r="W42" s="44"/>
      <c r="X42" s="31"/>
      <c r="Y42" s="31"/>
      <c r="Z42" s="31"/>
      <c r="AA42" s="31"/>
      <c r="AB42" s="31"/>
      <c r="AC42" s="31"/>
      <c r="AD42" s="31"/>
    </row>
    <row r="43" spans="1:30">
      <c r="A43" s="23" t="s">
        <v>52</v>
      </c>
      <c r="B43" s="29" t="s">
        <v>51</v>
      </c>
      <c r="C43" s="20"/>
      <c r="D43" s="29">
        <v>20.8</v>
      </c>
      <c r="E43" s="56">
        <v>47.9</v>
      </c>
      <c r="F43" s="33">
        <v>47.864285714285721</v>
      </c>
      <c r="G43" s="64">
        <v>-1.7681069939046168E-2</v>
      </c>
      <c r="H43" s="64">
        <v>0.05</v>
      </c>
      <c r="I43" s="39">
        <v>0.3202225679850485</v>
      </c>
      <c r="J43" s="26">
        <v>9.9408265627590767E-2</v>
      </c>
      <c r="K43" s="35">
        <v>247.93773835184876</v>
      </c>
      <c r="L43" s="35">
        <v>28.075257005471723</v>
      </c>
      <c r="M43" s="35">
        <v>52.074697396783286</v>
      </c>
      <c r="N43" s="35">
        <v>592.25252860222179</v>
      </c>
      <c r="O43" s="39">
        <v>1.5110546559599971</v>
      </c>
      <c r="P43" s="39">
        <v>3.3479764329580459</v>
      </c>
      <c r="Q43" s="43"/>
      <c r="R43" s="43"/>
      <c r="S43" s="38"/>
      <c r="T43" s="43"/>
      <c r="U43" s="44"/>
      <c r="V43" s="45"/>
      <c r="W43" s="44"/>
      <c r="X43" s="31"/>
      <c r="Y43" s="31"/>
      <c r="Z43" s="31"/>
      <c r="AA43" s="31"/>
      <c r="AB43" s="31"/>
      <c r="AC43" s="31"/>
      <c r="AD43" s="31"/>
    </row>
    <row r="44" spans="1:30">
      <c r="A44" s="23" t="s">
        <v>53</v>
      </c>
      <c r="B44" s="29" t="s">
        <v>51</v>
      </c>
      <c r="C44" s="20"/>
      <c r="D44" s="29">
        <v>21</v>
      </c>
      <c r="E44" s="56">
        <v>49.3</v>
      </c>
      <c r="F44" s="33">
        <v>50.040476190476191</v>
      </c>
      <c r="G44" s="64">
        <v>-4.0514281666848007E-2</v>
      </c>
      <c r="H44" s="64">
        <v>0.05</v>
      </c>
      <c r="I44" s="39">
        <v>0.36646071955962667</v>
      </c>
      <c r="J44" s="50">
        <v>0.12080710700342602</v>
      </c>
      <c r="K44" s="51">
        <v>185.2442036491116</v>
      </c>
      <c r="L44" s="51">
        <v>30.921838897299011</v>
      </c>
      <c r="M44" s="51">
        <v>62.744004461795861</v>
      </c>
      <c r="N44" s="51">
        <v>573.65946936499074</v>
      </c>
      <c r="O44" s="39">
        <v>1.4112639629818655</v>
      </c>
      <c r="P44" s="39">
        <v>1.9891662264109318</v>
      </c>
      <c r="Q44" s="43"/>
      <c r="R44" s="43"/>
      <c r="S44" s="38"/>
      <c r="T44" s="43"/>
      <c r="U44" s="44"/>
      <c r="V44" s="45"/>
      <c r="W44" s="44"/>
      <c r="X44" s="31"/>
      <c r="Y44" s="31"/>
      <c r="Z44" s="31"/>
      <c r="AA44" s="31"/>
      <c r="AB44" s="31"/>
      <c r="AC44" s="31"/>
      <c r="AD44" s="31"/>
    </row>
    <row r="45" spans="1:30">
      <c r="A45" s="32" t="s">
        <v>54</v>
      </c>
      <c r="B45" s="32" t="s">
        <v>51</v>
      </c>
      <c r="C45" s="20" t="s">
        <v>80</v>
      </c>
      <c r="D45" s="29">
        <v>21.3</v>
      </c>
      <c r="E45" s="56">
        <v>51.5</v>
      </c>
      <c r="F45" s="33">
        <v>53.304761904761911</v>
      </c>
      <c r="G45" s="64">
        <v>1.3084929528783817E-3</v>
      </c>
      <c r="H45" s="64">
        <v>0.05</v>
      </c>
      <c r="I45" s="39">
        <v>0.37699197957603109</v>
      </c>
      <c r="J45" s="26">
        <v>0.1149859641546102</v>
      </c>
      <c r="K45" s="35">
        <v>229.76948823148345</v>
      </c>
      <c r="L45" s="35">
        <v>31.805360613258468</v>
      </c>
      <c r="M45" s="35">
        <v>49.59781904556251</v>
      </c>
      <c r="N45" s="35">
        <v>632.62524292809314</v>
      </c>
      <c r="O45" s="39">
        <v>1.7536294431440618</v>
      </c>
      <c r="P45" s="39">
        <v>2.4099802328988966</v>
      </c>
      <c r="Q45" s="37">
        <v>0.44954000000000005</v>
      </c>
      <c r="R45" s="37">
        <v>0.48649160459736301</v>
      </c>
      <c r="S45" s="38">
        <v>0.04</v>
      </c>
      <c r="T45" s="26">
        <v>1.9833276632382824</v>
      </c>
      <c r="U45" s="26">
        <v>107.60300149423597</v>
      </c>
      <c r="V45" s="26">
        <v>1.2822434884442173</v>
      </c>
      <c r="W45" s="26">
        <v>0.33403882522309852</v>
      </c>
      <c r="X45" s="26">
        <v>89.524072628353096</v>
      </c>
      <c r="Y45" s="41">
        <f>I45-W45</f>
        <v>4.2953154352932565E-2</v>
      </c>
      <c r="Z45" s="39">
        <f>Y45/I45*100</f>
        <v>11.393652035048095</v>
      </c>
      <c r="AA45" s="41">
        <f>P45-T45</f>
        <v>0.42665256966061427</v>
      </c>
      <c r="AB45" s="41">
        <f>AA45/P45*100</f>
        <v>17.703571333753473</v>
      </c>
      <c r="AC45" s="41">
        <f>O45-V45</f>
        <v>0.47138595469984446</v>
      </c>
      <c r="AD45" s="42">
        <f>AC45/V45*100</f>
        <v>36.762592982382039</v>
      </c>
    </row>
    <row r="46" spans="1:30">
      <c r="A46" s="32" t="s">
        <v>56</v>
      </c>
      <c r="B46" s="32" t="s">
        <v>51</v>
      </c>
      <c r="C46" s="20" t="s">
        <v>80</v>
      </c>
      <c r="D46" s="29">
        <v>21.6</v>
      </c>
      <c r="E46" s="56">
        <v>53.7</v>
      </c>
      <c r="F46" s="33">
        <v>56.56904761904763</v>
      </c>
      <c r="G46" s="64">
        <v>9.4021246034969863E-2</v>
      </c>
      <c r="H46" s="64">
        <v>0.05</v>
      </c>
      <c r="I46" s="39">
        <v>0.3391227703510461</v>
      </c>
      <c r="J46" s="50">
        <v>0.11870593529676485</v>
      </c>
      <c r="K46" s="51">
        <v>250.01250062503124</v>
      </c>
      <c r="L46" s="51">
        <v>30.3875193759688</v>
      </c>
      <c r="M46" s="51">
        <v>42.002100105005248</v>
      </c>
      <c r="N46" s="51">
        <v>630.03150157507866</v>
      </c>
      <c r="O46" s="39">
        <v>1.8074639512600323</v>
      </c>
      <c r="P46" s="39">
        <v>2.7937421863040517</v>
      </c>
      <c r="Q46" s="37">
        <v>0.49343000000000004</v>
      </c>
      <c r="R46" s="37">
        <v>0.53388581191272</v>
      </c>
      <c r="S46" s="38">
        <v>0.04</v>
      </c>
      <c r="T46" s="26">
        <v>2.0338252489055932</v>
      </c>
      <c r="U46" s="26">
        <v>110.08246372583159</v>
      </c>
      <c r="V46" s="26">
        <v>1.3268022128139842</v>
      </c>
      <c r="W46" s="26">
        <v>0.30964702949869932</v>
      </c>
      <c r="X46" s="26">
        <v>90.84652996679246</v>
      </c>
      <c r="Y46" s="41">
        <f>I46-W46</f>
        <v>2.9475740852346777E-2</v>
      </c>
      <c r="Z46" s="39">
        <f>Y46/I46*100</f>
        <v>8.6917610462531574</v>
      </c>
      <c r="AA46" s="41">
        <f>P46-T46</f>
        <v>0.75991693739845845</v>
      </c>
      <c r="AB46" s="41">
        <f>AA46/P46*100</f>
        <v>27.200682336539494</v>
      </c>
      <c r="AC46" s="41">
        <f>O46-V46</f>
        <v>0.48066173844604809</v>
      </c>
      <c r="AD46" s="42">
        <f>AC46/V46*100</f>
        <v>36.227082967145776</v>
      </c>
    </row>
    <row r="47" spans="1:30">
      <c r="A47" s="23" t="s">
        <v>57</v>
      </c>
      <c r="B47" s="32" t="s">
        <v>51</v>
      </c>
      <c r="C47" s="20"/>
      <c r="D47" s="29">
        <v>21.8</v>
      </c>
      <c r="E47" s="56">
        <v>55.2</v>
      </c>
      <c r="F47" s="33">
        <v>58.745238095238093</v>
      </c>
      <c r="G47" s="64">
        <v>8.1600757975142102E-3</v>
      </c>
      <c r="H47" s="64">
        <v>0.05</v>
      </c>
      <c r="I47" s="39">
        <v>0.3590669866291421</v>
      </c>
      <c r="J47" s="26">
        <v>0.11193344034505151</v>
      </c>
      <c r="K47" s="35">
        <v>162.66189606793199</v>
      </c>
      <c r="L47" s="35">
        <v>32.664714315472168</v>
      </c>
      <c r="M47" s="35">
        <v>56.977613311930988</v>
      </c>
      <c r="N47" s="35">
        <v>511.87952604428324</v>
      </c>
      <c r="O47" s="39">
        <v>1.4303107601986502</v>
      </c>
      <c r="P47" s="39">
        <v>2.4300950296260058</v>
      </c>
      <c r="Q47" s="43"/>
      <c r="R47" s="43"/>
      <c r="S47" s="38"/>
      <c r="T47" s="43"/>
      <c r="U47" s="44"/>
      <c r="V47" s="45"/>
      <c r="W47" s="44"/>
      <c r="X47" s="31"/>
      <c r="Y47" s="31"/>
      <c r="Z47" s="31"/>
      <c r="AA47" s="31"/>
      <c r="AB47" s="31"/>
      <c r="AC47" s="31"/>
      <c r="AD47" s="31"/>
    </row>
    <row r="48" spans="1:30">
      <c r="A48" s="23" t="s">
        <v>58</v>
      </c>
      <c r="B48" s="32" t="s">
        <v>51</v>
      </c>
      <c r="C48" s="20"/>
      <c r="D48" s="29">
        <v>22</v>
      </c>
      <c r="E48" s="56">
        <v>56.6</v>
      </c>
      <c r="F48" s="33">
        <v>60.921428571428564</v>
      </c>
      <c r="G48" s="64">
        <v>2.3535371882710265E-2</v>
      </c>
      <c r="H48" s="64">
        <v>0.05</v>
      </c>
      <c r="I48" s="39">
        <v>0.33899970513114436</v>
      </c>
      <c r="J48" s="50">
        <v>0.13180572851805727</v>
      </c>
      <c r="K48" s="51">
        <v>155.41718555417185</v>
      </c>
      <c r="L48" s="51">
        <v>30.097135740971357</v>
      </c>
      <c r="M48" s="51">
        <v>39.8505603985056</v>
      </c>
      <c r="N48" s="51">
        <v>692.40348692403472</v>
      </c>
      <c r="O48" s="39">
        <v>1.6160038056165529</v>
      </c>
      <c r="P48" s="39">
        <v>2.1986773850300585</v>
      </c>
      <c r="Q48" s="43"/>
      <c r="R48" s="43"/>
      <c r="S48" s="38"/>
      <c r="T48" s="43"/>
      <c r="U48" s="44"/>
      <c r="V48" s="45"/>
      <c r="W48" s="44"/>
      <c r="X48" s="31"/>
      <c r="Y48" s="31"/>
      <c r="Z48" s="31"/>
      <c r="AA48" s="31"/>
      <c r="AB48" s="31"/>
      <c r="AC48" s="31"/>
      <c r="AD48" s="31"/>
    </row>
    <row r="49" spans="1:30">
      <c r="A49" s="23" t="s">
        <v>59</v>
      </c>
      <c r="B49" s="32" t="s">
        <v>51</v>
      </c>
      <c r="C49" s="20"/>
      <c r="D49" s="29">
        <v>22.2</v>
      </c>
      <c r="E49" s="56">
        <v>58.1</v>
      </c>
      <c r="F49" s="33">
        <v>63.097619047619034</v>
      </c>
      <c r="G49" s="64">
        <v>3.5475026732401105E-2</v>
      </c>
      <c r="H49" s="64">
        <v>0.05</v>
      </c>
      <c r="I49" s="39">
        <v>0.31574342043514547</v>
      </c>
      <c r="J49" s="26">
        <v>9.8703048677783387E-2</v>
      </c>
      <c r="K49" s="35">
        <v>146.53865588681151</v>
      </c>
      <c r="L49" s="35">
        <v>30.456459491325582</v>
      </c>
      <c r="M49" s="35">
        <v>64.00538992757285</v>
      </c>
      <c r="N49" s="35">
        <v>431.19420582785921</v>
      </c>
      <c r="O49" s="39">
        <v>1.1044819646428008</v>
      </c>
      <c r="P49" s="39">
        <v>1.7905680488308564</v>
      </c>
      <c r="Q49" s="43"/>
      <c r="R49" s="43"/>
      <c r="S49" s="38"/>
      <c r="T49" s="43"/>
      <c r="U49" s="44"/>
      <c r="V49" s="45"/>
      <c r="W49" s="44"/>
      <c r="X49" s="31"/>
      <c r="Y49" s="31"/>
      <c r="Z49" s="31"/>
      <c r="AA49" s="31"/>
      <c r="AB49" s="31"/>
      <c r="AC49" s="31"/>
      <c r="AD49" s="31"/>
    </row>
    <row r="50" spans="1:30">
      <c r="A50" s="32" t="s">
        <v>60</v>
      </c>
      <c r="B50" s="32" t="s">
        <v>51</v>
      </c>
      <c r="C50" s="20" t="s">
        <v>80</v>
      </c>
      <c r="D50" s="29">
        <v>22.4</v>
      </c>
      <c r="E50" s="56">
        <v>59.5</v>
      </c>
      <c r="F50" s="33">
        <v>65.27380952380949</v>
      </c>
      <c r="G50" s="64">
        <v>7.0827336354328807E-2</v>
      </c>
      <c r="H50" s="64">
        <v>0.05</v>
      </c>
      <c r="I50" s="39">
        <v>0.35755073891485034</v>
      </c>
      <c r="J50" s="50">
        <v>0.12028125467511094</v>
      </c>
      <c r="K50" s="51">
        <v>163.56654864608785</v>
      </c>
      <c r="L50" s="51">
        <v>29.3382536278861</v>
      </c>
      <c r="M50" s="51">
        <v>66.822919263950524</v>
      </c>
      <c r="N50" s="51">
        <v>512.64150002493386</v>
      </c>
      <c r="O50" s="39">
        <v>1.3231744475619291</v>
      </c>
      <c r="P50" s="39">
        <v>2.1171258594701952</v>
      </c>
      <c r="Q50" s="37">
        <v>0.57722000000000007</v>
      </c>
      <c r="R50" s="37">
        <v>0.60334245698688604</v>
      </c>
      <c r="S50" s="38">
        <v>0.04</v>
      </c>
      <c r="T50" s="26">
        <v>2.0028015810413247</v>
      </c>
      <c r="U50" s="26">
        <v>61.938406086390231</v>
      </c>
      <c r="V50" s="26">
        <v>1.0820819821363918</v>
      </c>
      <c r="W50" s="26">
        <v>0.31115033265211656</v>
      </c>
      <c r="X50" s="26">
        <v>87.843492596767319</v>
      </c>
      <c r="Y50" s="41">
        <f>I50-W50</f>
        <v>4.6400406262733784E-2</v>
      </c>
      <c r="Z50" s="39">
        <f>Y50/I50*100</f>
        <v>12.97729279026435</v>
      </c>
      <c r="AA50" s="41">
        <f>P50-T50</f>
        <v>0.1143242784288705</v>
      </c>
      <c r="AB50" s="41">
        <f>AA50/P50*100</f>
        <v>5.3999755336926363</v>
      </c>
      <c r="AC50" s="41">
        <f>O50-V50</f>
        <v>0.24109246542553731</v>
      </c>
      <c r="AD50" s="42">
        <f>AC50/V50*100</f>
        <v>22.280425088452184</v>
      </c>
    </row>
    <row r="51" spans="1:30">
      <c r="A51" s="23" t="s">
        <v>61</v>
      </c>
      <c r="B51" s="32" t="s">
        <v>140</v>
      </c>
      <c r="C51" s="20"/>
      <c r="D51" s="29">
        <v>22.6</v>
      </c>
      <c r="E51" s="57">
        <v>61</v>
      </c>
      <c r="F51" s="60">
        <v>67.45</v>
      </c>
      <c r="G51" s="64">
        <v>2.8434819316025539E-2</v>
      </c>
      <c r="H51" s="64">
        <v>0.05</v>
      </c>
      <c r="I51" s="39">
        <v>0.42082389517015373</v>
      </c>
      <c r="J51" s="26">
        <v>0.13109814294674266</v>
      </c>
      <c r="K51" s="35">
        <v>145.21011153227343</v>
      </c>
      <c r="L51" s="35">
        <v>34.94450655831583</v>
      </c>
      <c r="M51" s="35">
        <v>101.23803550489488</v>
      </c>
      <c r="N51" s="35">
        <v>501.07714542826756</v>
      </c>
      <c r="O51" s="39">
        <v>1.2820501922110419</v>
      </c>
      <c r="P51" s="39">
        <v>2.0779423646750903</v>
      </c>
      <c r="Q51" s="43"/>
      <c r="R51" s="43"/>
      <c r="S51" s="38"/>
      <c r="T51" s="43"/>
      <c r="U51" s="44"/>
      <c r="V51" s="45"/>
      <c r="W51" s="44"/>
      <c r="X51" s="31"/>
      <c r="Y51" s="31"/>
      <c r="Z51" s="31"/>
      <c r="AA51" s="31"/>
      <c r="AB51" s="31"/>
      <c r="AC51" s="31"/>
      <c r="AD51" s="31"/>
    </row>
    <row r="52" spans="1:30">
      <c r="A52" s="32" t="s">
        <v>62</v>
      </c>
      <c r="B52" s="32" t="s">
        <v>55</v>
      </c>
      <c r="C52" s="20" t="s">
        <v>80</v>
      </c>
      <c r="D52" s="29">
        <v>22.8</v>
      </c>
      <c r="E52" s="56">
        <v>62.1</v>
      </c>
      <c r="F52" s="33">
        <v>69.5625</v>
      </c>
      <c r="G52" s="64">
        <v>4.4405528612179168E-2</v>
      </c>
      <c r="H52" s="64">
        <v>0.05</v>
      </c>
      <c r="I52" s="39">
        <v>0.37287338872991538</v>
      </c>
      <c r="J52" s="50">
        <v>0.13198314938411196</v>
      </c>
      <c r="K52" s="51">
        <v>191.12040585568906</v>
      </c>
      <c r="L52" s="51">
        <v>30.647307803916458</v>
      </c>
      <c r="M52" s="51">
        <v>77.048540580565742</v>
      </c>
      <c r="N52" s="51">
        <v>526.33158890100765</v>
      </c>
      <c r="O52" s="39">
        <v>1.4773975105401125</v>
      </c>
      <c r="P52" s="39">
        <v>2.1500846439518422</v>
      </c>
      <c r="Q52" s="37">
        <v>0.40831000000000001</v>
      </c>
      <c r="R52" s="37">
        <v>0.43431835738310398</v>
      </c>
      <c r="S52" s="38">
        <v>0.04</v>
      </c>
      <c r="T52" s="26">
        <v>2.0901295392051167</v>
      </c>
      <c r="U52" s="26">
        <v>89.402549845446558</v>
      </c>
      <c r="V52" s="26">
        <v>1.268566751767586</v>
      </c>
      <c r="W52" s="26">
        <v>0.34264721249241026</v>
      </c>
      <c r="X52" s="26">
        <v>91.793679994747677</v>
      </c>
      <c r="Y52" s="41">
        <f>I52-W52</f>
        <v>3.022617623750512E-2</v>
      </c>
      <c r="Z52" s="39">
        <f>Y52/I52*100</f>
        <v>8.1062841036904736</v>
      </c>
      <c r="AA52" s="41">
        <f>P52-T52</f>
        <v>5.9955104746725496E-2</v>
      </c>
      <c r="AB52" s="41">
        <f>AA52/P52*100</f>
        <v>2.7884997418765982</v>
      </c>
      <c r="AC52" s="41">
        <f>O52-V52</f>
        <v>0.20883075877252644</v>
      </c>
      <c r="AD52" s="42">
        <f>AC52/V52*100</f>
        <v>16.461944827227057</v>
      </c>
    </row>
    <row r="53" spans="1:30">
      <c r="A53" s="23" t="s">
        <v>63</v>
      </c>
      <c r="B53" s="32" t="s">
        <v>55</v>
      </c>
      <c r="C53" s="20"/>
      <c r="D53" s="29">
        <v>23.1</v>
      </c>
      <c r="E53" s="56">
        <v>63.7</v>
      </c>
      <c r="F53" s="33">
        <v>72.731250000000003</v>
      </c>
      <c r="G53" s="64">
        <v>3.0503335324505443E-2</v>
      </c>
      <c r="H53" s="64">
        <v>0.05</v>
      </c>
      <c r="I53" s="39">
        <v>0.43894140328115988</v>
      </c>
      <c r="J53" s="26">
        <v>0.10856525120957644</v>
      </c>
      <c r="K53" s="35">
        <v>162.15574861903949</v>
      </c>
      <c r="L53" s="35">
        <v>30.88671509366802</v>
      </c>
      <c r="M53" s="35">
        <v>48.448973672761802</v>
      </c>
      <c r="N53" s="35">
        <v>471.63592738586482</v>
      </c>
      <c r="O53" s="39">
        <v>1.4263995400496094</v>
      </c>
      <c r="P53" s="39">
        <v>2.1549389874128297</v>
      </c>
      <c r="Q53" s="43"/>
      <c r="R53" s="43"/>
      <c r="S53" s="38"/>
      <c r="T53" s="43"/>
      <c r="U53" s="44"/>
      <c r="V53" s="45"/>
      <c r="W53" s="44"/>
      <c r="X53" s="31"/>
      <c r="Y53" s="31"/>
      <c r="Z53" s="31"/>
      <c r="AA53" s="31"/>
      <c r="AB53" s="31"/>
      <c r="AC53" s="31"/>
      <c r="AD53" s="31"/>
    </row>
    <row r="54" spans="1:30">
      <c r="A54" s="32" t="s">
        <v>64</v>
      </c>
      <c r="B54" s="32" t="s">
        <v>55</v>
      </c>
      <c r="C54" s="20" t="s">
        <v>80</v>
      </c>
      <c r="D54" s="29">
        <v>23.4</v>
      </c>
      <c r="E54" s="56">
        <v>65.3</v>
      </c>
      <c r="F54" s="33">
        <v>75.899999999999977</v>
      </c>
      <c r="G54" s="64">
        <v>-8.0913670760907053E-2</v>
      </c>
      <c r="H54" s="64">
        <v>0.05</v>
      </c>
      <c r="I54" s="39">
        <v>0.52527536313519096</v>
      </c>
      <c r="J54" s="50">
        <v>0.13191055284422754</v>
      </c>
      <c r="K54" s="51">
        <v>167.01336106888553</v>
      </c>
      <c r="L54" s="51">
        <v>30.452436194895594</v>
      </c>
      <c r="M54" s="51">
        <v>91.007280582446597</v>
      </c>
      <c r="N54" s="51">
        <v>472.03776302104166</v>
      </c>
      <c r="O54" s="39">
        <v>1.4393895115733202</v>
      </c>
      <c r="P54" s="39">
        <v>1.7479355479034224</v>
      </c>
      <c r="Q54" s="37">
        <v>0.38702999999999999</v>
      </c>
      <c r="R54" s="37">
        <v>0.40663874590043803</v>
      </c>
      <c r="S54" s="38">
        <v>0.04</v>
      </c>
      <c r="T54" s="26">
        <v>1.7423434580943451</v>
      </c>
      <c r="U54" s="26">
        <v>60.013201407709509</v>
      </c>
      <c r="V54" s="26">
        <v>1.1995056631560848</v>
      </c>
      <c r="W54" s="26">
        <v>0.42088271112842901</v>
      </c>
      <c r="X54" s="26">
        <v>85.576588656436854</v>
      </c>
      <c r="Y54" s="41">
        <f>I54-W54</f>
        <v>0.10439265200676195</v>
      </c>
      <c r="Z54" s="39">
        <f>Y54/I54*100</f>
        <v>19.87389078819108</v>
      </c>
      <c r="AA54" s="41">
        <f>P54-T54</f>
        <v>5.5920898090773274E-3</v>
      </c>
      <c r="AB54" s="41">
        <f>AA54/P54*100</f>
        <v>0.31992540089849492</v>
      </c>
      <c r="AC54" s="41">
        <f>O54-V54</f>
        <v>0.23988384841723542</v>
      </c>
      <c r="AD54" s="42">
        <f>AC54/V54*100</f>
        <v>19.998559055241468</v>
      </c>
    </row>
    <row r="55" spans="1:30">
      <c r="A55" s="23" t="s">
        <v>65</v>
      </c>
      <c r="B55" s="32" t="s">
        <v>55</v>
      </c>
      <c r="C55" s="20"/>
      <c r="D55" s="29">
        <v>23.6</v>
      </c>
      <c r="E55" s="56">
        <v>66.400000000000006</v>
      </c>
      <c r="F55" s="33">
        <v>78.012500000000003</v>
      </c>
      <c r="G55" s="64">
        <v>-2.1903337524165067E-2</v>
      </c>
      <c r="H55" s="64">
        <v>0.05</v>
      </c>
      <c r="I55" s="39">
        <v>0.49314772916280314</v>
      </c>
      <c r="J55" s="26">
        <v>0.11959223900795812</v>
      </c>
      <c r="K55" s="35">
        <v>177.6231594121887</v>
      </c>
      <c r="L55" s="35">
        <v>33.424044953737074</v>
      </c>
      <c r="M55" s="35">
        <v>54.059222429796563</v>
      </c>
      <c r="N55" s="35">
        <v>520.73373442579543</v>
      </c>
      <c r="O55" s="39">
        <v>1.5899352493761199</v>
      </c>
      <c r="P55" s="39">
        <v>2.3870624658589366</v>
      </c>
      <c r="Q55" s="43"/>
      <c r="R55" s="43"/>
      <c r="S55" s="38"/>
      <c r="T55" s="43"/>
      <c r="U55" s="44"/>
      <c r="V55" s="45"/>
      <c r="W55" s="44"/>
      <c r="X55" s="31"/>
      <c r="Y55" s="31"/>
      <c r="Z55" s="31"/>
      <c r="AA55" s="31"/>
      <c r="AB55" s="31"/>
      <c r="AC55" s="31"/>
      <c r="AD55" s="31"/>
    </row>
    <row r="56" spans="1:30">
      <c r="A56" s="32" t="s">
        <v>66</v>
      </c>
      <c r="B56" s="32" t="s">
        <v>55</v>
      </c>
      <c r="C56" s="20" t="s">
        <v>80</v>
      </c>
      <c r="D56" s="29">
        <v>23.8</v>
      </c>
      <c r="E56" s="56">
        <v>67.5</v>
      </c>
      <c r="F56" s="33">
        <v>80.125</v>
      </c>
      <c r="G56" s="68">
        <v>-0.23117492206314871</v>
      </c>
      <c r="H56" s="64">
        <v>0.05</v>
      </c>
      <c r="I56" s="39">
        <v>0.52210345873886299</v>
      </c>
      <c r="J56" s="50">
        <v>0.14307869328130468</v>
      </c>
      <c r="K56" s="51">
        <v>172.09465205863222</v>
      </c>
      <c r="L56" s="51">
        <v>29.07399069488218</v>
      </c>
      <c r="M56" s="51">
        <v>73.04017209465205</v>
      </c>
      <c r="N56" s="51">
        <v>464.25534043724048</v>
      </c>
      <c r="O56" s="39">
        <v>1.6640777137394045</v>
      </c>
      <c r="P56" s="39">
        <v>1.9263004441022002</v>
      </c>
      <c r="Q56" s="37">
        <v>0.42427000000000004</v>
      </c>
      <c r="R56" s="37">
        <v>0.450977910987435</v>
      </c>
      <c r="S56" s="38">
        <v>0.04</v>
      </c>
      <c r="T56" s="26">
        <v>1.9435762709426307</v>
      </c>
      <c r="U56" s="26">
        <v>82.216351838560399</v>
      </c>
      <c r="V56" s="26">
        <v>1.5044309989629068</v>
      </c>
      <c r="W56" s="26">
        <v>0.46218782083484306</v>
      </c>
      <c r="X56" s="26">
        <v>90.991919775225867</v>
      </c>
      <c r="Y56" s="41">
        <f>I56-W56</f>
        <v>5.9915637904019936E-2</v>
      </c>
      <c r="Z56" s="39">
        <f>Y56/I56*100</f>
        <v>11.475817082067548</v>
      </c>
      <c r="AA56" s="41">
        <f>P56-T56</f>
        <v>-1.7275826840430497E-2</v>
      </c>
      <c r="AB56" s="41">
        <f>AA56/P56*100</f>
        <v>-0.89683968527984848</v>
      </c>
      <c r="AC56" s="41">
        <f>O56-V56</f>
        <v>0.15964671477649772</v>
      </c>
      <c r="AD56" s="42">
        <f>AC56/V56*100</f>
        <v>10.611767165563037</v>
      </c>
    </row>
    <row r="57" spans="1:30">
      <c r="A57" s="32" t="s">
        <v>67</v>
      </c>
      <c r="B57" s="32" t="s">
        <v>55</v>
      </c>
      <c r="C57" s="20" t="s">
        <v>80</v>
      </c>
      <c r="D57" s="29">
        <v>24</v>
      </c>
      <c r="E57" s="56">
        <v>68.599999999999994</v>
      </c>
      <c r="F57" s="33">
        <v>82.237499999999997</v>
      </c>
      <c r="G57" s="64">
        <v>3.6105868438385258E-2</v>
      </c>
      <c r="H57" s="64">
        <v>0.05</v>
      </c>
      <c r="I57" s="39">
        <v>0.4887647255073243</v>
      </c>
      <c r="J57" s="26">
        <v>0.12040283848237579</v>
      </c>
      <c r="K57" s="35">
        <v>138.35108769713989</v>
      </c>
      <c r="L57" s="35">
        <v>33.92468382829508</v>
      </c>
      <c r="M57" s="35">
        <v>64.813122164425891</v>
      </c>
      <c r="N57" s="35">
        <v>463.66310471473912</v>
      </c>
      <c r="O57" s="39">
        <v>1.5525318529727414</v>
      </c>
      <c r="P57" s="39">
        <v>2.5328528901420864</v>
      </c>
      <c r="Q57" s="37">
        <v>0.40831000000000001</v>
      </c>
      <c r="R57" s="37">
        <v>0.42330986839057799</v>
      </c>
      <c r="S57" s="38">
        <v>0.04</v>
      </c>
      <c r="T57" s="26">
        <v>2.7167662376509969</v>
      </c>
      <c r="U57" s="26">
        <v>68.762758603941123</v>
      </c>
      <c r="V57" s="26">
        <v>1.4922794699204611</v>
      </c>
      <c r="W57" s="26">
        <v>0.4176254008523807</v>
      </c>
      <c r="X57" s="26">
        <v>91.232537163988312</v>
      </c>
      <c r="Y57" s="41">
        <f>I57-W57</f>
        <v>7.1139324654943603E-2</v>
      </c>
      <c r="Z57" s="39">
        <f>Y57/I57*100</f>
        <v>14.554922019199104</v>
      </c>
      <c r="AA57" s="41">
        <f>P57-T57</f>
        <v>-0.18391334750891053</v>
      </c>
      <c r="AB57" s="41">
        <f>AA57/P57*100</f>
        <v>-7.2611144620639019</v>
      </c>
      <c r="AC57" s="41">
        <f>O57-V57</f>
        <v>6.0252383052280312E-2</v>
      </c>
      <c r="AD57" s="42">
        <f>AC57/V57*100</f>
        <v>4.0376071819504276</v>
      </c>
    </row>
    <row r="58" spans="1:30">
      <c r="A58" s="32" t="s">
        <v>68</v>
      </c>
      <c r="B58" s="32" t="s">
        <v>55</v>
      </c>
      <c r="C58" s="20" t="s">
        <v>80</v>
      </c>
      <c r="D58" s="29">
        <v>24.3</v>
      </c>
      <c r="E58" s="56">
        <v>70.2</v>
      </c>
      <c r="F58" s="33">
        <v>85.40625</v>
      </c>
      <c r="G58" s="64">
        <v>-2.7174800339979654E-3</v>
      </c>
      <c r="H58" s="64">
        <v>0.05</v>
      </c>
      <c r="I58" s="39">
        <v>0.44553722620404868</v>
      </c>
      <c r="J58" s="50">
        <v>0.11533195414705322</v>
      </c>
      <c r="K58" s="51">
        <v>143.91509009684285</v>
      </c>
      <c r="L58" s="51">
        <v>30.00029982310437</v>
      </c>
      <c r="M58" s="51">
        <v>98.941624441579464</v>
      </c>
      <c r="N58" s="51">
        <v>369.78182872105452</v>
      </c>
      <c r="O58" s="39">
        <v>1.4591721556983099</v>
      </c>
      <c r="P58" s="39">
        <v>1.5710373927467181</v>
      </c>
      <c r="Q58" s="37">
        <v>0.46017999999999998</v>
      </c>
      <c r="R58" s="37">
        <v>0.487690611155565</v>
      </c>
      <c r="S58" s="38">
        <v>0.04</v>
      </c>
      <c r="T58" s="26">
        <v>1.7727194999601454</v>
      </c>
      <c r="U58" s="26">
        <v>71.42789145375724</v>
      </c>
      <c r="V58" s="26">
        <v>1.3254270574321638</v>
      </c>
      <c r="W58" s="26">
        <v>0.40481935948582742</v>
      </c>
      <c r="X58" s="26">
        <v>91.128984892625539</v>
      </c>
      <c r="Y58" s="41">
        <f>I58-W58</f>
        <v>4.0717866718221252E-2</v>
      </c>
      <c r="Z58" s="39">
        <f>Y58/I58*100</f>
        <v>9.1390492922746578</v>
      </c>
      <c r="AA58" s="41">
        <f>P58-T58</f>
        <v>-0.20168210721342739</v>
      </c>
      <c r="AB58" s="41">
        <f>AA58/P58*100</f>
        <v>-12.837511579582275</v>
      </c>
      <c r="AC58" s="41">
        <f>O58-V58</f>
        <v>0.13374509826614611</v>
      </c>
      <c r="AD58" s="42">
        <f>AC58/V58*100</f>
        <v>10.090717366616856</v>
      </c>
    </row>
    <row r="59" spans="1:30" ht="14.5">
      <c r="A59" s="23" t="s">
        <v>69</v>
      </c>
      <c r="B59" s="8" t="s">
        <v>134</v>
      </c>
      <c r="C59" s="8"/>
      <c r="D59" s="29">
        <v>24.5</v>
      </c>
      <c r="E59" s="56">
        <v>71.3</v>
      </c>
      <c r="F59" s="33">
        <v>87.518749999999997</v>
      </c>
      <c r="G59" s="64">
        <v>0.19180217542125177</v>
      </c>
      <c r="H59" s="64">
        <v>0.05</v>
      </c>
      <c r="I59" s="39">
        <v>1.4565107396736503</v>
      </c>
      <c r="J59" s="50">
        <v>0.40142769013836255</v>
      </c>
      <c r="K59" s="51">
        <v>168.54675244558032</v>
      </c>
      <c r="L59" s="51">
        <v>36.287124350048465</v>
      </c>
      <c r="M59" s="51">
        <v>35.25160835463118</v>
      </c>
      <c r="N59" s="51">
        <v>776.63699656296808</v>
      </c>
      <c r="O59" s="39">
        <v>5.9984795162938207</v>
      </c>
      <c r="P59" s="39">
        <v>5.9105888320268649</v>
      </c>
      <c r="Q59" s="52"/>
      <c r="R59" s="52"/>
      <c r="S59" s="52"/>
      <c r="T59" s="29"/>
      <c r="U59" s="53"/>
      <c r="V59" s="54"/>
      <c r="W59" s="55"/>
      <c r="X59" s="31"/>
      <c r="Y59" s="31"/>
      <c r="Z59" s="31"/>
      <c r="AA59" s="31"/>
      <c r="AB59" s="31"/>
      <c r="AC59" s="31"/>
      <c r="AD59" s="31"/>
    </row>
    <row r="60" spans="1:30" ht="14.5">
      <c r="A60" s="32" t="s">
        <v>70</v>
      </c>
      <c r="B60" s="8" t="s">
        <v>134</v>
      </c>
      <c r="C60" s="8" t="s">
        <v>90</v>
      </c>
      <c r="D60" s="32">
        <v>24.8</v>
      </c>
      <c r="E60" s="56">
        <v>72.900000000000006</v>
      </c>
      <c r="F60" s="33">
        <v>90.6875</v>
      </c>
      <c r="G60" s="64">
        <v>-3.9886179505232988E-2</v>
      </c>
      <c r="H60" s="64">
        <v>0.05</v>
      </c>
      <c r="I60" s="26">
        <v>0.54137597332540399</v>
      </c>
      <c r="J60" s="50"/>
      <c r="K60" s="51"/>
      <c r="L60" s="51"/>
      <c r="M60" s="51"/>
      <c r="N60" s="51"/>
      <c r="O60" s="39"/>
      <c r="P60" s="39"/>
      <c r="Q60" s="48">
        <v>0.20482</v>
      </c>
      <c r="R60" s="48">
        <v>0.20781252485989599</v>
      </c>
      <c r="S60" s="38">
        <v>0.04</v>
      </c>
      <c r="T60" s="26">
        <v>8.5128750197294281</v>
      </c>
      <c r="U60" s="26">
        <v>87.561717132515412</v>
      </c>
      <c r="V60" s="26">
        <v>1.1789568016449452</v>
      </c>
      <c r="W60" s="26">
        <v>0.50090906860310658</v>
      </c>
      <c r="X60" s="26">
        <v>87.755475952139818</v>
      </c>
      <c r="Y60" s="41">
        <f>I60-W60</f>
        <v>4.0466904722297414E-2</v>
      </c>
      <c r="Z60" s="39"/>
      <c r="AA60" s="41"/>
      <c r="AB60" s="41"/>
      <c r="AC60" s="41"/>
      <c r="AD60" s="42"/>
    </row>
    <row r="61" spans="1:30" ht="14.5">
      <c r="A61" s="32" t="s">
        <v>71</v>
      </c>
      <c r="B61" s="8" t="s">
        <v>134</v>
      </c>
      <c r="C61" s="8" t="s">
        <v>90</v>
      </c>
      <c r="D61" s="32">
        <v>25</v>
      </c>
      <c r="E61" s="58">
        <v>74</v>
      </c>
      <c r="F61" s="60">
        <v>92.8</v>
      </c>
      <c r="G61" s="64">
        <v>-8.8410650365355892E-2</v>
      </c>
      <c r="H61" s="64">
        <v>0.05</v>
      </c>
      <c r="I61" s="39">
        <v>0.65651615618763359</v>
      </c>
      <c r="J61" s="50">
        <v>0.10801509308786333</v>
      </c>
      <c r="K61" s="51">
        <v>222.87183314674294</v>
      </c>
      <c r="L61" s="51">
        <v>35.172285110088325</v>
      </c>
      <c r="M61" s="51">
        <v>131.64987353319236</v>
      </c>
      <c r="N61" s="51">
        <v>294.39814238918603</v>
      </c>
      <c r="O61" s="39">
        <v>1.5750665912281836</v>
      </c>
      <c r="P61" s="39">
        <v>9.7131799656341542</v>
      </c>
      <c r="Q61" s="48">
        <v>0.23141999999999999</v>
      </c>
      <c r="R61" s="48">
        <v>0.23476671668166199</v>
      </c>
      <c r="S61" s="38">
        <v>0.04</v>
      </c>
      <c r="T61" s="26">
        <v>9.4962126360600649</v>
      </c>
      <c r="U61" s="26">
        <v>96.695178001525917</v>
      </c>
      <c r="V61" s="26">
        <v>1.213021238286073</v>
      </c>
      <c r="W61" s="26">
        <v>0.55949246479967707</v>
      </c>
      <c r="X61" s="26">
        <v>91.441808319704236</v>
      </c>
      <c r="Y61" s="41">
        <f>I61-W61</f>
        <v>9.7023691387956523E-2</v>
      </c>
      <c r="Z61" s="39">
        <f>Y61/I61*100</f>
        <v>14.778568733383457</v>
      </c>
      <c r="AA61" s="41">
        <f>P61-T61</f>
        <v>0.21696732957408926</v>
      </c>
      <c r="AB61" s="41">
        <f>AA61/P61*100</f>
        <v>2.2337414764447217</v>
      </c>
      <c r="AC61" s="41">
        <f>O61-V61</f>
        <v>0.3620453529421106</v>
      </c>
      <c r="AD61" s="42">
        <f>AC61/V61*100</f>
        <v>29.846579887888787</v>
      </c>
    </row>
  </sheetData>
  <sortState xmlns:xlrd2="http://schemas.microsoft.com/office/spreadsheetml/2017/richdata2" ref="A3:AD61">
    <sortCondition ref="D3:D61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7B29-D4FA-452B-9C3D-AEB885EB4DD5}">
  <dimension ref="A1:L4"/>
  <sheetViews>
    <sheetView workbookViewId="0"/>
  </sheetViews>
  <sheetFormatPr defaultRowHeight="14"/>
  <cols>
    <col min="1" max="1" width="14.81640625" customWidth="1"/>
    <col min="2" max="2" width="13.81640625" customWidth="1"/>
    <col min="3" max="3" width="20.453125" customWidth="1"/>
    <col min="9" max="9" width="18.1796875" customWidth="1"/>
  </cols>
  <sheetData>
    <row r="1" spans="1:12">
      <c r="A1" s="16"/>
      <c r="B1" s="16" t="s">
        <v>148</v>
      </c>
      <c r="C1" s="16" t="s">
        <v>149</v>
      </c>
      <c r="D1" s="16"/>
      <c r="E1" s="16"/>
      <c r="F1" s="16"/>
      <c r="G1" s="16"/>
      <c r="H1" s="16"/>
      <c r="I1" s="16"/>
      <c r="J1" s="16" t="s">
        <v>150</v>
      </c>
      <c r="K1" s="16" t="s">
        <v>151</v>
      </c>
      <c r="L1" s="1" t="s">
        <v>152</v>
      </c>
    </row>
    <row r="2" spans="1:12">
      <c r="A2" s="15" t="s">
        <v>145</v>
      </c>
      <c r="B2" s="16">
        <v>-0.18</v>
      </c>
      <c r="C2" s="17"/>
      <c r="D2" s="18">
        <v>-0.22695395334759727</v>
      </c>
      <c r="E2" s="18">
        <v>-0.22127219744971782</v>
      </c>
      <c r="F2" s="19">
        <v>-0.2531665889632384</v>
      </c>
      <c r="G2" s="19">
        <v>-0.2531665889632384</v>
      </c>
      <c r="H2" s="18">
        <v>-0.21100902208548433</v>
      </c>
      <c r="I2" s="18">
        <v>-0.21803056889913019</v>
      </c>
      <c r="J2" s="16">
        <v>6</v>
      </c>
      <c r="K2" s="14">
        <f>AVERAGE(D2:I2)</f>
        <v>-0.23059981995140108</v>
      </c>
      <c r="L2" s="14">
        <f>2*_xlfn.STDEV.P(D2:I2)</f>
        <v>3.3272615818739019E-2</v>
      </c>
    </row>
    <row r="3" spans="1:12">
      <c r="A3" s="15" t="s">
        <v>146</v>
      </c>
      <c r="B3" s="16">
        <v>-0.27</v>
      </c>
      <c r="C3" s="17"/>
      <c r="D3" s="18">
        <v>-0.28097196501053467</v>
      </c>
      <c r="E3" s="18">
        <v>-0.26391184986207517</v>
      </c>
      <c r="F3" s="18">
        <v>-0.31632415732119057</v>
      </c>
      <c r="G3" s="17"/>
      <c r="H3" s="17"/>
      <c r="I3" s="17"/>
      <c r="J3" s="16">
        <v>3</v>
      </c>
      <c r="K3" s="14">
        <f>AVERAGE(D3:I3)</f>
        <v>-0.28706932406460012</v>
      </c>
      <c r="L3" s="14">
        <f>2*_xlfn.STDEV.P(D3:I3)</f>
        <v>4.3654578495971659E-2</v>
      </c>
    </row>
    <row r="4" spans="1:12">
      <c r="A4" s="15" t="s">
        <v>147</v>
      </c>
      <c r="D4" s="18">
        <v>-0.14166052988884292</v>
      </c>
      <c r="E4" s="18">
        <v>-0.10113186284144149</v>
      </c>
      <c r="F4" s="18">
        <v>-0.10983867584279938</v>
      </c>
      <c r="J4" s="16">
        <v>3</v>
      </c>
      <c r="K4" s="14">
        <f>AVERAGE(D4:I4)</f>
        <v>-0.11754368952436127</v>
      </c>
      <c r="L4" s="14">
        <f>2*_xlfn.STDEV.P(D4:I4)</f>
        <v>3.4839389203776328E-2</v>
      </c>
    </row>
  </sheetData>
  <pageMargins left="0.7" right="0.7" top="0.75" bottom="0.75" header="0.3" footer="0.3"/>
  <ignoredErrors>
    <ignoredError sqref="K2 L2:L4 K3:K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F6F0-4469-4017-8E8F-40A1654F4949}">
  <dimension ref="A1:J99"/>
  <sheetViews>
    <sheetView workbookViewId="0">
      <selection activeCell="H47" sqref="G47:H47"/>
    </sheetView>
  </sheetViews>
  <sheetFormatPr defaultRowHeight="15.5"/>
  <cols>
    <col min="1" max="1" width="18.81640625" style="80" customWidth="1"/>
    <col min="2" max="2" width="16.54296875" style="80" customWidth="1"/>
    <col min="3" max="3" width="15" style="80" customWidth="1"/>
    <col min="4" max="4" width="16.26953125" style="80" customWidth="1"/>
    <col min="5" max="5" width="24.81640625" style="76" customWidth="1"/>
    <col min="6" max="7" width="8.7265625" style="80"/>
    <col min="8" max="8" width="13" style="80" customWidth="1"/>
    <col min="9" max="9" width="15.81640625" style="80" customWidth="1"/>
    <col min="10" max="16384" width="8.7265625" style="80"/>
  </cols>
  <sheetData>
    <row r="1" spans="1:6">
      <c r="A1" s="77" t="s">
        <v>167</v>
      </c>
      <c r="B1" s="77" t="s">
        <v>170</v>
      </c>
      <c r="C1" s="77" t="s">
        <v>206</v>
      </c>
      <c r="D1" s="77" t="s">
        <v>205</v>
      </c>
      <c r="E1" s="77" t="s">
        <v>169</v>
      </c>
      <c r="F1" s="76" t="s">
        <v>200</v>
      </c>
    </row>
    <row r="2" spans="1:6">
      <c r="A2" s="77" t="s">
        <v>195</v>
      </c>
      <c r="B2" s="84" t="s">
        <v>168</v>
      </c>
      <c r="C2" s="81">
        <v>16.451746</v>
      </c>
      <c r="D2" s="82">
        <v>0.55805381308605329</v>
      </c>
      <c r="E2" s="77" t="s">
        <v>171</v>
      </c>
    </row>
    <row r="3" spans="1:6">
      <c r="A3" s="77" t="s">
        <v>195</v>
      </c>
      <c r="B3" s="84" t="s">
        <v>168</v>
      </c>
      <c r="C3" s="78">
        <v>41</v>
      </c>
      <c r="D3" s="79">
        <v>0.56883747620288905</v>
      </c>
      <c r="E3" s="77" t="s">
        <v>171</v>
      </c>
    </row>
    <row r="4" spans="1:6">
      <c r="A4" s="77" t="s">
        <v>195</v>
      </c>
      <c r="B4" s="84" t="s">
        <v>168</v>
      </c>
      <c r="C4" s="78">
        <v>95.971046000000001</v>
      </c>
      <c r="D4" s="79">
        <v>0.59087148910878196</v>
      </c>
      <c r="E4" s="77" t="s">
        <v>171</v>
      </c>
    </row>
    <row r="5" spans="1:6">
      <c r="A5" s="77" t="s">
        <v>195</v>
      </c>
      <c r="B5" s="84" t="s">
        <v>168</v>
      </c>
      <c r="C5" s="78">
        <v>147</v>
      </c>
      <c r="D5" s="79">
        <v>0.5733091014573265</v>
      </c>
      <c r="E5" s="77" t="s">
        <v>171</v>
      </c>
    </row>
    <row r="6" spans="1:6">
      <c r="A6" s="77" t="s">
        <v>196</v>
      </c>
      <c r="B6" s="84" t="s">
        <v>168</v>
      </c>
      <c r="C6" s="78">
        <v>16.121092000000001</v>
      </c>
      <c r="D6" s="79">
        <v>0.58083262049624085</v>
      </c>
      <c r="E6" s="77" t="s">
        <v>171</v>
      </c>
    </row>
    <row r="7" spans="1:6">
      <c r="A7" s="77" t="s">
        <v>196</v>
      </c>
      <c r="B7" s="84" t="s">
        <v>168</v>
      </c>
      <c r="C7" s="78">
        <v>51</v>
      </c>
      <c r="D7" s="79">
        <v>0.57137341464449276</v>
      </c>
      <c r="E7" s="77" t="s">
        <v>171</v>
      </c>
    </row>
    <row r="8" spans="1:6">
      <c r="A8" s="77" t="s">
        <v>196</v>
      </c>
      <c r="B8" s="84" t="s">
        <v>168</v>
      </c>
      <c r="C8" s="78">
        <v>96.032915000000003</v>
      </c>
      <c r="D8" s="79">
        <v>0.54833475850105406</v>
      </c>
      <c r="E8" s="77" t="s">
        <v>171</v>
      </c>
    </row>
    <row r="9" spans="1:6">
      <c r="A9" s="77" t="s">
        <v>196</v>
      </c>
      <c r="B9" s="84" t="s">
        <v>168</v>
      </c>
      <c r="C9" s="78">
        <v>199</v>
      </c>
      <c r="D9" s="79">
        <v>0.5281465889145176</v>
      </c>
      <c r="E9" s="77" t="s">
        <v>171</v>
      </c>
    </row>
    <row r="10" spans="1:6">
      <c r="A10" s="77" t="s">
        <v>196</v>
      </c>
      <c r="B10" s="84" t="s">
        <v>168</v>
      </c>
      <c r="C10" s="78">
        <v>199</v>
      </c>
      <c r="D10" s="79">
        <v>0.50414056851866029</v>
      </c>
      <c r="E10" s="77" t="s">
        <v>171</v>
      </c>
    </row>
    <row r="11" spans="1:6">
      <c r="A11" s="77" t="s">
        <v>197</v>
      </c>
      <c r="B11" s="84" t="s">
        <v>168</v>
      </c>
      <c r="C11" s="77">
        <v>14</v>
      </c>
      <c r="D11" s="77">
        <v>0.57999999999999996</v>
      </c>
      <c r="E11" s="77" t="s">
        <v>171</v>
      </c>
    </row>
    <row r="12" spans="1:6">
      <c r="A12" s="77" t="s">
        <v>197</v>
      </c>
      <c r="B12" s="84" t="s">
        <v>168</v>
      </c>
      <c r="C12" s="77">
        <v>93</v>
      </c>
      <c r="D12" s="77">
        <v>0.59</v>
      </c>
      <c r="E12" s="77" t="s">
        <v>171</v>
      </c>
    </row>
    <row r="13" spans="1:6">
      <c r="A13" s="77" t="s">
        <v>197</v>
      </c>
      <c r="B13" s="84" t="s">
        <v>168</v>
      </c>
      <c r="C13" s="77">
        <v>192</v>
      </c>
      <c r="D13" s="77">
        <v>0.56000000000000005</v>
      </c>
      <c r="E13" s="77" t="s">
        <v>171</v>
      </c>
    </row>
    <row r="14" spans="1:6">
      <c r="A14" s="77" t="s">
        <v>198</v>
      </c>
      <c r="B14" s="84" t="s">
        <v>168</v>
      </c>
      <c r="C14" s="77">
        <v>24</v>
      </c>
      <c r="D14" s="82">
        <v>0.56399598560537523</v>
      </c>
      <c r="E14" s="77" t="s">
        <v>171</v>
      </c>
    </row>
    <row r="15" spans="1:6">
      <c r="A15" s="77" t="s">
        <v>198</v>
      </c>
      <c r="B15" s="84" t="s">
        <v>168</v>
      </c>
      <c r="C15" s="77">
        <v>93</v>
      </c>
      <c r="D15" s="82">
        <v>0.59704731823713864</v>
      </c>
      <c r="E15" s="77" t="s">
        <v>171</v>
      </c>
    </row>
    <row r="16" spans="1:6">
      <c r="A16" s="77" t="s">
        <v>198</v>
      </c>
      <c r="B16" s="84" t="s">
        <v>168</v>
      </c>
      <c r="C16" s="77">
        <v>148</v>
      </c>
      <c r="D16" s="82">
        <v>0.61346999003078406</v>
      </c>
      <c r="E16" s="77" t="s">
        <v>171</v>
      </c>
    </row>
    <row r="17" spans="1:5">
      <c r="A17" s="77" t="s">
        <v>198</v>
      </c>
      <c r="B17" s="84" t="s">
        <v>168</v>
      </c>
      <c r="C17" s="77">
        <v>199</v>
      </c>
      <c r="D17" s="82">
        <v>0.60145760252131097</v>
      </c>
      <c r="E17" s="77" t="s">
        <v>171</v>
      </c>
    </row>
    <row r="18" spans="1:5">
      <c r="A18" s="77" t="s">
        <v>199</v>
      </c>
      <c r="B18" s="84" t="s">
        <v>168</v>
      </c>
      <c r="C18" s="77">
        <v>23</v>
      </c>
      <c r="D18" s="82">
        <v>0.5374521307918404</v>
      </c>
      <c r="E18" s="77" t="s">
        <v>171</v>
      </c>
    </row>
    <row r="19" spans="1:5">
      <c r="A19" s="77" t="s">
        <v>199</v>
      </c>
      <c r="B19" s="84" t="s">
        <v>168</v>
      </c>
      <c r="C19" s="77">
        <v>98</v>
      </c>
      <c r="D19" s="82">
        <v>0.55043578017770589</v>
      </c>
      <c r="E19" s="77" t="s">
        <v>171</v>
      </c>
    </row>
    <row r="20" spans="1:5" ht="14.5" customHeight="1">
      <c r="A20" s="77" t="s">
        <v>199</v>
      </c>
      <c r="B20" s="84" t="s">
        <v>168</v>
      </c>
      <c r="C20" s="77">
        <v>198</v>
      </c>
      <c r="D20" s="82">
        <v>0.56660981762115492</v>
      </c>
      <c r="E20" s="77" t="s">
        <v>171</v>
      </c>
    </row>
    <row r="21" spans="1:5">
      <c r="A21" s="77" t="s">
        <v>166</v>
      </c>
      <c r="B21" s="84" t="s">
        <v>168</v>
      </c>
      <c r="C21" s="77">
        <v>196</v>
      </c>
      <c r="D21" s="82">
        <v>0.57999999999999996</v>
      </c>
      <c r="E21" s="77" t="s">
        <v>173</v>
      </c>
    </row>
    <row r="22" spans="1:5">
      <c r="A22" s="77" t="s">
        <v>166</v>
      </c>
      <c r="B22" s="84" t="s">
        <v>168</v>
      </c>
      <c r="C22" s="77">
        <v>97</v>
      </c>
      <c r="D22" s="83">
        <v>0.55000000000000004</v>
      </c>
      <c r="E22" s="77" t="s">
        <v>173</v>
      </c>
    </row>
    <row r="23" spans="1:5">
      <c r="A23" s="77" t="s">
        <v>166</v>
      </c>
      <c r="B23" s="84" t="s">
        <v>168</v>
      </c>
      <c r="C23" s="77">
        <v>47</v>
      </c>
      <c r="D23" s="83">
        <v>0.56999999999999995</v>
      </c>
      <c r="E23" s="77" t="s">
        <v>173</v>
      </c>
    </row>
    <row r="24" spans="1:5">
      <c r="A24" s="77" t="s">
        <v>166</v>
      </c>
      <c r="B24" s="84" t="s">
        <v>168</v>
      </c>
      <c r="C24" s="77">
        <v>23</v>
      </c>
      <c r="D24" s="83">
        <v>0.53</v>
      </c>
      <c r="E24" s="77" t="s">
        <v>173</v>
      </c>
    </row>
    <row r="25" spans="1:5">
      <c r="A25" s="77" t="s">
        <v>166</v>
      </c>
      <c r="B25" s="84" t="s">
        <v>168</v>
      </c>
      <c r="C25" s="77">
        <v>35</v>
      </c>
      <c r="D25" s="83">
        <v>0.56999999999999995</v>
      </c>
      <c r="E25" s="77" t="s">
        <v>173</v>
      </c>
    </row>
    <row r="26" spans="1:5">
      <c r="A26" s="77" t="s">
        <v>172</v>
      </c>
      <c r="B26" s="84" t="s">
        <v>168</v>
      </c>
      <c r="C26" s="77">
        <v>198</v>
      </c>
      <c r="D26" s="83">
        <v>0.59</v>
      </c>
      <c r="E26" s="85" t="s">
        <v>174</v>
      </c>
    </row>
    <row r="27" spans="1:5">
      <c r="A27" s="77" t="s">
        <v>172</v>
      </c>
      <c r="B27" s="84" t="s">
        <v>168</v>
      </c>
      <c r="C27" s="77">
        <v>98</v>
      </c>
      <c r="D27" s="83">
        <v>0.6</v>
      </c>
      <c r="E27" s="85" t="s">
        <v>174</v>
      </c>
    </row>
    <row r="28" spans="1:5">
      <c r="A28" s="77" t="s">
        <v>172</v>
      </c>
      <c r="B28" s="84" t="s">
        <v>168</v>
      </c>
      <c r="C28" s="77">
        <v>27</v>
      </c>
      <c r="D28" s="83">
        <v>0.56999999999999995</v>
      </c>
      <c r="E28" s="85" t="s">
        <v>174</v>
      </c>
    </row>
    <row r="29" spans="1:5">
      <c r="A29" s="77" t="s">
        <v>172</v>
      </c>
      <c r="B29" s="84" t="s">
        <v>168</v>
      </c>
      <c r="C29" s="77">
        <v>23</v>
      </c>
      <c r="D29" s="83">
        <v>0.59</v>
      </c>
      <c r="E29" s="85" t="s">
        <v>174</v>
      </c>
    </row>
    <row r="30" spans="1:5">
      <c r="A30" s="77" t="s">
        <v>172</v>
      </c>
      <c r="B30" s="84" t="s">
        <v>168</v>
      </c>
      <c r="C30" s="77">
        <v>5</v>
      </c>
      <c r="D30" s="83">
        <v>0.57999999999999996</v>
      </c>
      <c r="E30" s="85" t="s">
        <v>174</v>
      </c>
    </row>
    <row r="31" spans="1:5">
      <c r="A31" s="77" t="s">
        <v>182</v>
      </c>
      <c r="B31" s="77" t="s">
        <v>203</v>
      </c>
      <c r="C31" s="77">
        <v>14</v>
      </c>
      <c r="D31" s="77">
        <v>0.57999999999999996</v>
      </c>
      <c r="E31" s="77" t="s">
        <v>207</v>
      </c>
    </row>
    <row r="32" spans="1:5">
      <c r="A32" s="77" t="s">
        <v>186</v>
      </c>
      <c r="B32" s="77" t="s">
        <v>203</v>
      </c>
      <c r="C32" s="77">
        <v>93</v>
      </c>
      <c r="D32" s="77">
        <v>0.59</v>
      </c>
      <c r="E32" s="77" t="s">
        <v>207</v>
      </c>
    </row>
    <row r="33" spans="1:5">
      <c r="A33" s="77" t="s">
        <v>187</v>
      </c>
      <c r="B33" s="77" t="s">
        <v>203</v>
      </c>
      <c r="C33" s="77">
        <v>192</v>
      </c>
      <c r="D33" s="77">
        <v>0.56000000000000005</v>
      </c>
      <c r="E33" s="77" t="s">
        <v>207</v>
      </c>
    </row>
    <row r="34" spans="1:5">
      <c r="A34" s="77" t="s">
        <v>175</v>
      </c>
      <c r="B34" s="77" t="s">
        <v>176</v>
      </c>
      <c r="C34" s="77">
        <v>55</v>
      </c>
      <c r="D34" s="83">
        <v>0.56999999999999995</v>
      </c>
      <c r="E34" s="77" t="s">
        <v>173</v>
      </c>
    </row>
    <row r="35" spans="1:5">
      <c r="A35" s="77" t="s">
        <v>175</v>
      </c>
      <c r="B35" s="77" t="s">
        <v>176</v>
      </c>
      <c r="C35" s="77">
        <v>11</v>
      </c>
      <c r="D35" s="83">
        <v>0.56999999999999995</v>
      </c>
      <c r="E35" s="77" t="s">
        <v>173</v>
      </c>
    </row>
    <row r="36" spans="1:5">
      <c r="A36" s="77" t="s">
        <v>177</v>
      </c>
      <c r="B36" s="77" t="s">
        <v>176</v>
      </c>
      <c r="C36" s="77">
        <v>76</v>
      </c>
      <c r="D36" s="83">
        <v>0.54</v>
      </c>
      <c r="E36" s="77" t="s">
        <v>173</v>
      </c>
    </row>
    <row r="37" spans="1:5">
      <c r="A37" s="77" t="s">
        <v>178</v>
      </c>
      <c r="B37" s="77" t="s">
        <v>176</v>
      </c>
      <c r="C37" s="77">
        <v>12</v>
      </c>
      <c r="D37" s="83">
        <v>0.46</v>
      </c>
      <c r="E37" s="77" t="s">
        <v>173</v>
      </c>
    </row>
    <row r="38" spans="1:5">
      <c r="A38" s="77" t="s">
        <v>179</v>
      </c>
      <c r="B38" s="77" t="s">
        <v>176</v>
      </c>
      <c r="C38" s="77">
        <v>95</v>
      </c>
      <c r="D38" s="83">
        <v>0.56000000000000005</v>
      </c>
      <c r="E38" s="77" t="s">
        <v>173</v>
      </c>
    </row>
    <row r="39" spans="1:5">
      <c r="A39" s="77" t="s">
        <v>180</v>
      </c>
      <c r="B39" s="77" t="s">
        <v>176</v>
      </c>
      <c r="C39" s="77">
        <v>16</v>
      </c>
      <c r="D39" s="83">
        <v>0.52</v>
      </c>
      <c r="E39" s="77" t="s">
        <v>173</v>
      </c>
    </row>
    <row r="40" spans="1:5">
      <c r="A40" s="77" t="s">
        <v>181</v>
      </c>
      <c r="B40" s="77" t="s">
        <v>176</v>
      </c>
      <c r="C40" s="77">
        <v>11</v>
      </c>
      <c r="D40" s="77">
        <v>0.52</v>
      </c>
      <c r="E40" s="77" t="s">
        <v>207</v>
      </c>
    </row>
    <row r="41" spans="1:5">
      <c r="A41" s="77" t="s">
        <v>181</v>
      </c>
      <c r="B41" s="77" t="s">
        <v>176</v>
      </c>
      <c r="C41" s="77">
        <v>51</v>
      </c>
      <c r="D41" s="77">
        <v>0.53</v>
      </c>
      <c r="E41" s="77" t="s">
        <v>207</v>
      </c>
    </row>
    <row r="42" spans="1:5">
      <c r="A42" s="77" t="s">
        <v>181</v>
      </c>
      <c r="B42" s="77" t="s">
        <v>176</v>
      </c>
      <c r="C42" s="77">
        <v>100</v>
      </c>
      <c r="D42" s="77">
        <v>0.52</v>
      </c>
      <c r="E42" s="77" t="s">
        <v>207</v>
      </c>
    </row>
    <row r="43" spans="1:5">
      <c r="A43" s="77" t="s">
        <v>181</v>
      </c>
      <c r="B43" s="77" t="s">
        <v>176</v>
      </c>
      <c r="C43" s="77">
        <v>199</v>
      </c>
      <c r="D43" s="77">
        <v>0.54</v>
      </c>
      <c r="E43" s="77" t="s">
        <v>207</v>
      </c>
    </row>
    <row r="44" spans="1:5">
      <c r="A44" s="77" t="s">
        <v>183</v>
      </c>
      <c r="B44" s="77" t="s">
        <v>204</v>
      </c>
      <c r="C44" s="77">
        <v>25</v>
      </c>
      <c r="D44" s="77">
        <v>0.64</v>
      </c>
      <c r="E44" s="77" t="s">
        <v>207</v>
      </c>
    </row>
    <row r="45" spans="1:5">
      <c r="A45" s="77" t="s">
        <v>183</v>
      </c>
      <c r="B45" s="77" t="s">
        <v>204</v>
      </c>
      <c r="C45" s="77">
        <v>120</v>
      </c>
      <c r="D45" s="77">
        <v>0.65</v>
      </c>
      <c r="E45" s="77" t="s">
        <v>207</v>
      </c>
    </row>
    <row r="46" spans="1:5">
      <c r="A46" s="77" t="s">
        <v>184</v>
      </c>
      <c r="B46" s="77" t="s">
        <v>204</v>
      </c>
      <c r="C46" s="77">
        <v>20</v>
      </c>
      <c r="D46" s="77">
        <v>0.62</v>
      </c>
      <c r="E46" s="77" t="s">
        <v>207</v>
      </c>
    </row>
    <row r="47" spans="1:5">
      <c r="A47" s="77" t="s">
        <v>184</v>
      </c>
      <c r="B47" s="77" t="s">
        <v>204</v>
      </c>
      <c r="C47" s="77">
        <v>20</v>
      </c>
      <c r="D47" s="77">
        <v>0.61</v>
      </c>
      <c r="E47" s="77" t="s">
        <v>207</v>
      </c>
    </row>
    <row r="48" spans="1:5">
      <c r="A48" s="86" t="s">
        <v>190</v>
      </c>
      <c r="B48" s="77" t="s">
        <v>193</v>
      </c>
      <c r="C48" s="86">
        <v>5.9</v>
      </c>
      <c r="D48" s="77">
        <v>0.6</v>
      </c>
      <c r="E48" s="77" t="s">
        <v>194</v>
      </c>
    </row>
    <row r="49" spans="1:10">
      <c r="A49" s="86" t="s">
        <v>190</v>
      </c>
      <c r="B49" s="77" t="s">
        <v>193</v>
      </c>
      <c r="C49" s="86">
        <v>25.4</v>
      </c>
      <c r="D49" s="77">
        <v>0.57999999999999996</v>
      </c>
      <c r="E49" s="77" t="s">
        <v>194</v>
      </c>
    </row>
    <row r="50" spans="1:10">
      <c r="A50" s="86" t="s">
        <v>190</v>
      </c>
      <c r="B50" s="77" t="s">
        <v>193</v>
      </c>
      <c r="C50" s="86">
        <v>73</v>
      </c>
      <c r="D50" s="77">
        <v>0.59</v>
      </c>
      <c r="E50" s="77" t="s">
        <v>194</v>
      </c>
    </row>
    <row r="51" spans="1:10">
      <c r="A51" s="86" t="s">
        <v>190</v>
      </c>
      <c r="B51" s="77" t="s">
        <v>193</v>
      </c>
      <c r="C51" s="86">
        <v>96</v>
      </c>
      <c r="D51" s="77">
        <v>0.57999999999999996</v>
      </c>
      <c r="E51" s="77" t="s">
        <v>194</v>
      </c>
    </row>
    <row r="52" spans="1:10">
      <c r="A52" s="86" t="s">
        <v>191</v>
      </c>
      <c r="B52" s="77" t="s">
        <v>193</v>
      </c>
      <c r="C52" s="86">
        <v>3.1</v>
      </c>
      <c r="D52" s="77">
        <v>0.59</v>
      </c>
      <c r="E52" s="77" t="s">
        <v>194</v>
      </c>
    </row>
    <row r="53" spans="1:10">
      <c r="A53" s="86" t="s">
        <v>191</v>
      </c>
      <c r="B53" s="77" t="s">
        <v>193</v>
      </c>
      <c r="C53" s="86">
        <v>24.2</v>
      </c>
      <c r="D53" s="77">
        <v>0.63</v>
      </c>
      <c r="E53" s="77" t="s">
        <v>194</v>
      </c>
    </row>
    <row r="54" spans="1:10">
      <c r="A54" s="86" t="s">
        <v>191</v>
      </c>
      <c r="B54" s="77" t="s">
        <v>193</v>
      </c>
      <c r="C54" s="86">
        <v>73.3</v>
      </c>
      <c r="D54" s="77">
        <v>0.62</v>
      </c>
      <c r="E54" s="77" t="s">
        <v>194</v>
      </c>
    </row>
    <row r="55" spans="1:10">
      <c r="A55" s="86" t="s">
        <v>191</v>
      </c>
      <c r="B55" s="77" t="s">
        <v>193</v>
      </c>
      <c r="C55" s="86">
        <v>122.9</v>
      </c>
      <c r="D55" s="77">
        <v>0.55000000000000004</v>
      </c>
      <c r="E55" s="77" t="s">
        <v>194</v>
      </c>
    </row>
    <row r="56" spans="1:10">
      <c r="A56" s="86" t="s">
        <v>191</v>
      </c>
      <c r="B56" s="77" t="s">
        <v>193</v>
      </c>
      <c r="C56" s="86">
        <v>149.5</v>
      </c>
      <c r="D56" s="77">
        <v>0.57999999999999996</v>
      </c>
      <c r="E56" s="77" t="s">
        <v>194</v>
      </c>
    </row>
    <row r="57" spans="1:10">
      <c r="A57" s="86" t="s">
        <v>188</v>
      </c>
      <c r="B57" s="77" t="s">
        <v>193</v>
      </c>
      <c r="C57" s="86">
        <v>5.6</v>
      </c>
      <c r="D57" s="77">
        <v>0.56999999999999995</v>
      </c>
      <c r="E57" s="77" t="s">
        <v>194</v>
      </c>
    </row>
    <row r="58" spans="1:10">
      <c r="A58" s="86" t="s">
        <v>188</v>
      </c>
      <c r="B58" s="77" t="s">
        <v>193</v>
      </c>
      <c r="C58" s="86">
        <v>25</v>
      </c>
      <c r="D58" s="77">
        <v>0.62</v>
      </c>
      <c r="E58" s="77" t="s">
        <v>194</v>
      </c>
    </row>
    <row r="59" spans="1:10">
      <c r="A59" s="86" t="s">
        <v>188</v>
      </c>
      <c r="B59" s="77" t="s">
        <v>193</v>
      </c>
      <c r="C59" s="86">
        <v>51.9</v>
      </c>
      <c r="D59" s="77">
        <v>0.56999999999999995</v>
      </c>
      <c r="E59" s="77" t="s">
        <v>194</v>
      </c>
    </row>
    <row r="60" spans="1:10">
      <c r="A60" s="86" t="s">
        <v>188</v>
      </c>
      <c r="B60" s="77" t="s">
        <v>193</v>
      </c>
      <c r="C60" s="86">
        <v>74.8</v>
      </c>
      <c r="D60" s="77">
        <v>0.62</v>
      </c>
      <c r="E60" s="77" t="s">
        <v>194</v>
      </c>
    </row>
    <row r="61" spans="1:10">
      <c r="A61" s="86" t="s">
        <v>188</v>
      </c>
      <c r="B61" s="77" t="s">
        <v>193</v>
      </c>
      <c r="C61" s="86">
        <v>99</v>
      </c>
      <c r="D61" s="77">
        <v>0.6</v>
      </c>
      <c r="E61" s="77" t="s">
        <v>194</v>
      </c>
    </row>
    <row r="62" spans="1:10">
      <c r="A62" s="86" t="s">
        <v>188</v>
      </c>
      <c r="B62" s="77" t="s">
        <v>193</v>
      </c>
      <c r="C62" s="86">
        <v>148.1</v>
      </c>
      <c r="D62" s="77">
        <v>0.55000000000000004</v>
      </c>
      <c r="E62" s="77" t="s">
        <v>194</v>
      </c>
    </row>
    <row r="63" spans="1:10">
      <c r="A63" s="86" t="s">
        <v>188</v>
      </c>
      <c r="B63" s="77" t="s">
        <v>193</v>
      </c>
      <c r="C63" s="86">
        <v>197.9</v>
      </c>
      <c r="D63" s="77">
        <v>0.55000000000000004</v>
      </c>
      <c r="E63" s="77" t="s">
        <v>194</v>
      </c>
    </row>
    <row r="64" spans="1:10">
      <c r="A64" s="86" t="s">
        <v>192</v>
      </c>
      <c r="B64" s="77" t="s">
        <v>193</v>
      </c>
      <c r="C64" s="86">
        <v>6.2</v>
      </c>
      <c r="D64" s="77">
        <v>0.63</v>
      </c>
      <c r="E64" s="77" t="s">
        <v>194</v>
      </c>
      <c r="I64" s="1"/>
      <c r="J64" s="1"/>
    </row>
    <row r="65" spans="1:10">
      <c r="A65" s="86" t="s">
        <v>192</v>
      </c>
      <c r="B65" s="77" t="s">
        <v>193</v>
      </c>
      <c r="C65" s="86">
        <v>25.2</v>
      </c>
      <c r="D65" s="77">
        <v>0.61</v>
      </c>
      <c r="E65" s="77" t="s">
        <v>194</v>
      </c>
      <c r="I65" s="1"/>
      <c r="J65" s="1"/>
    </row>
    <row r="66" spans="1:10">
      <c r="A66" s="86" t="s">
        <v>192</v>
      </c>
      <c r="B66" s="77" t="s">
        <v>193</v>
      </c>
      <c r="C66" s="86">
        <v>75.599999999999994</v>
      </c>
      <c r="D66" s="77">
        <v>0.63</v>
      </c>
      <c r="E66" s="77" t="s">
        <v>194</v>
      </c>
      <c r="I66" s="1"/>
      <c r="J66" s="1"/>
    </row>
    <row r="67" spans="1:10">
      <c r="A67" s="86" t="s">
        <v>192</v>
      </c>
      <c r="B67" s="77" t="s">
        <v>193</v>
      </c>
      <c r="C67" s="86">
        <v>125</v>
      </c>
      <c r="D67" s="77">
        <v>0.59</v>
      </c>
      <c r="E67" s="77" t="s">
        <v>194</v>
      </c>
      <c r="I67" s="1"/>
      <c r="J67" s="1"/>
    </row>
    <row r="68" spans="1:10">
      <c r="A68" s="86" t="s">
        <v>192</v>
      </c>
      <c r="B68" s="77" t="s">
        <v>193</v>
      </c>
      <c r="C68" s="86">
        <v>150.1</v>
      </c>
      <c r="D68" s="77">
        <v>0.6</v>
      </c>
      <c r="E68" s="77" t="s">
        <v>194</v>
      </c>
      <c r="I68" s="1"/>
      <c r="J68" s="1"/>
    </row>
    <row r="69" spans="1:10">
      <c r="A69" s="86" t="s">
        <v>192</v>
      </c>
      <c r="B69" s="77" t="s">
        <v>193</v>
      </c>
      <c r="C69" s="86">
        <v>198.6</v>
      </c>
      <c r="D69" s="77">
        <v>0.54</v>
      </c>
      <c r="E69" s="77" t="s">
        <v>194</v>
      </c>
      <c r="I69" s="1"/>
      <c r="J69" s="1"/>
    </row>
    <row r="70" spans="1:10">
      <c r="A70" s="86" t="s">
        <v>189</v>
      </c>
      <c r="B70" s="77" t="s">
        <v>193</v>
      </c>
      <c r="C70" s="86">
        <v>5.0999999999999996</v>
      </c>
      <c r="D70" s="77">
        <v>0.6</v>
      </c>
      <c r="E70" s="77" t="s">
        <v>194</v>
      </c>
    </row>
    <row r="71" spans="1:10">
      <c r="A71" s="86" t="s">
        <v>189</v>
      </c>
      <c r="B71" s="77" t="s">
        <v>193</v>
      </c>
      <c r="C71" s="86">
        <v>25.1</v>
      </c>
      <c r="D71" s="77">
        <v>0.59</v>
      </c>
      <c r="E71" s="77" t="s">
        <v>194</v>
      </c>
    </row>
    <row r="72" spans="1:10">
      <c r="A72" s="86" t="s">
        <v>189</v>
      </c>
      <c r="B72" s="77" t="s">
        <v>193</v>
      </c>
      <c r="C72" s="86">
        <v>51.2</v>
      </c>
      <c r="D72" s="77">
        <v>0.56999999999999995</v>
      </c>
      <c r="E72" s="77" t="s">
        <v>194</v>
      </c>
    </row>
    <row r="73" spans="1:10">
      <c r="A73" s="86" t="s">
        <v>189</v>
      </c>
      <c r="B73" s="77" t="s">
        <v>193</v>
      </c>
      <c r="C73" s="86">
        <v>75.8</v>
      </c>
      <c r="D73" s="77">
        <v>0.63</v>
      </c>
      <c r="E73" s="77" t="s">
        <v>194</v>
      </c>
    </row>
    <row r="74" spans="1:10">
      <c r="A74" s="86" t="s">
        <v>189</v>
      </c>
      <c r="B74" s="77" t="s">
        <v>193</v>
      </c>
      <c r="C74" s="86">
        <v>100.7</v>
      </c>
      <c r="D74" s="77">
        <v>0.59</v>
      </c>
      <c r="E74" s="77" t="s">
        <v>194</v>
      </c>
    </row>
    <row r="75" spans="1:10">
      <c r="A75" s="86" t="s">
        <v>189</v>
      </c>
      <c r="B75" s="77" t="s">
        <v>193</v>
      </c>
      <c r="C75" s="86">
        <v>123.8</v>
      </c>
      <c r="D75" s="77">
        <v>0.56000000000000005</v>
      </c>
      <c r="E75" s="77" t="s">
        <v>194</v>
      </c>
    </row>
    <row r="76" spans="1:10">
      <c r="A76" s="86" t="s">
        <v>189</v>
      </c>
      <c r="B76" s="77" t="s">
        <v>193</v>
      </c>
      <c r="C76" s="86">
        <v>150.4</v>
      </c>
      <c r="D76" s="77">
        <v>0.53</v>
      </c>
      <c r="E76" s="77" t="s">
        <v>194</v>
      </c>
    </row>
    <row r="77" spans="1:10">
      <c r="A77" s="87" t="s">
        <v>201</v>
      </c>
      <c r="B77" s="87" t="s">
        <v>202</v>
      </c>
      <c r="C77" s="87">
        <v>30</v>
      </c>
      <c r="D77" s="87">
        <v>0.31</v>
      </c>
      <c r="E77" s="87" t="s">
        <v>207</v>
      </c>
      <c r="F77" s="87" t="s">
        <v>185</v>
      </c>
    </row>
    <row r="78" spans="1:10">
      <c r="A78" s="87" t="s">
        <v>201</v>
      </c>
      <c r="B78" s="87" t="s">
        <v>202</v>
      </c>
      <c r="C78" s="87">
        <v>35</v>
      </c>
      <c r="D78" s="87">
        <v>0.32</v>
      </c>
      <c r="E78" s="87" t="s">
        <v>207</v>
      </c>
      <c r="F78" s="87" t="s">
        <v>185</v>
      </c>
    </row>
    <row r="79" spans="1:10">
      <c r="A79" s="87" t="s">
        <v>201</v>
      </c>
      <c r="B79" s="87" t="s">
        <v>202</v>
      </c>
      <c r="C79" s="87">
        <v>50</v>
      </c>
      <c r="D79" s="87">
        <v>0.34</v>
      </c>
      <c r="E79" s="87" t="s">
        <v>207</v>
      </c>
      <c r="F79" s="87" t="s">
        <v>185</v>
      </c>
    </row>
    <row r="80" spans="1:10">
      <c r="A80" s="87" t="s">
        <v>201</v>
      </c>
      <c r="B80" s="87" t="s">
        <v>202</v>
      </c>
      <c r="C80" s="87">
        <v>55</v>
      </c>
      <c r="D80" s="87">
        <v>0.31</v>
      </c>
      <c r="E80" s="87" t="s">
        <v>207</v>
      </c>
      <c r="F80" s="87" t="s">
        <v>185</v>
      </c>
    </row>
    <row r="81" spans="1:10">
      <c r="A81" s="87" t="s">
        <v>201</v>
      </c>
      <c r="B81" s="87" t="s">
        <v>202</v>
      </c>
      <c r="C81" s="87">
        <v>120</v>
      </c>
      <c r="D81" s="87">
        <v>0.28999999999999998</v>
      </c>
      <c r="E81" s="87" t="s">
        <v>207</v>
      </c>
      <c r="F81" s="87" t="s">
        <v>185</v>
      </c>
    </row>
    <row r="82" spans="1:10">
      <c r="A82" s="87" t="s">
        <v>201</v>
      </c>
      <c r="B82" s="87" t="s">
        <v>202</v>
      </c>
      <c r="C82" s="87">
        <v>140</v>
      </c>
      <c r="D82" s="87">
        <v>0.3</v>
      </c>
      <c r="E82" s="87" t="s">
        <v>207</v>
      </c>
      <c r="F82" s="87" t="s">
        <v>185</v>
      </c>
      <c r="I82" s="1"/>
      <c r="J82" s="1"/>
    </row>
    <row r="83" spans="1:10">
      <c r="I83" s="1"/>
      <c r="J83" s="1"/>
    </row>
    <row r="84" spans="1:10">
      <c r="I84" s="1"/>
      <c r="J84" s="1"/>
    </row>
    <row r="85" spans="1:10">
      <c r="I85" s="1"/>
      <c r="J85" s="1"/>
    </row>
    <row r="86" spans="1:10">
      <c r="I86" s="1"/>
      <c r="J86" s="1"/>
    </row>
    <row r="87" spans="1:10">
      <c r="I87" s="1"/>
      <c r="J87" s="1"/>
    </row>
    <row r="88" spans="1:10">
      <c r="I88" s="1"/>
      <c r="J88" s="1"/>
    </row>
    <row r="89" spans="1:10">
      <c r="I89" s="1"/>
      <c r="J89" s="1"/>
    </row>
    <row r="90" spans="1:10">
      <c r="I90" s="1"/>
      <c r="J90" s="1"/>
    </row>
    <row r="91" spans="1:10">
      <c r="I91" s="1"/>
      <c r="J91" s="1"/>
    </row>
    <row r="92" spans="1:10">
      <c r="I92" s="1"/>
      <c r="J92" s="1"/>
    </row>
    <row r="93" spans="1:10">
      <c r="I93" s="1"/>
      <c r="J93" s="1"/>
    </row>
    <row r="94" spans="1:10">
      <c r="I94" s="1"/>
      <c r="J94" s="1"/>
    </row>
    <row r="95" spans="1:10">
      <c r="I95" s="1"/>
      <c r="J95" s="1"/>
    </row>
    <row r="96" spans="1:10">
      <c r="I96" s="1"/>
      <c r="J96" s="1"/>
    </row>
    <row r="97" spans="9:10">
      <c r="I97" s="1"/>
      <c r="J97" s="1"/>
    </row>
    <row r="98" spans="9:10">
      <c r="I98" s="1"/>
      <c r="J98" s="1"/>
    </row>
    <row r="99" spans="9:10">
      <c r="I99" s="1"/>
      <c r="J99" s="1"/>
    </row>
  </sheetData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 and O isotope</vt:lpstr>
      <vt:lpstr>Leach and disolution</vt:lpstr>
      <vt:lpstr>Standard</vt:lpstr>
      <vt:lpstr>Ba isotope_Seawater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Guolin Xiong</dc:creator>
  <cp:lastModifiedBy>Guolin Xiong </cp:lastModifiedBy>
  <dcterms:created xsi:type="dcterms:W3CDTF">2024-04-05T13:50:32Z</dcterms:created>
  <dcterms:modified xsi:type="dcterms:W3CDTF">2025-09-20T21:53:35Z</dcterms:modified>
</cp:coreProperties>
</file>